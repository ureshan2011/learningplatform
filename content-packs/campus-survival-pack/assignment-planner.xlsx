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  <sheet xmlns:r="http://schemas.openxmlformats.org/officeDocument/2006/relationships" name="Word budget" sheetId="2" state="visible" r:id="rId2"/>
    <sheet xmlns:r="http://schemas.openxmlformats.org/officeDocument/2006/relationships" name="Before you subm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1A1A1A"/>
      <sz val="14"/>
    </font>
    <font>
      <i val="1"/>
      <color rgb="00666666"/>
      <sz val="10"/>
    </font>
    <font>
      <b val="1"/>
      <color rgb="001A1A1A"/>
      <sz val="11"/>
    </font>
  </fonts>
  <fills count="4">
    <fill>
      <patternFill/>
    </fill>
    <fill>
      <patternFill patternType="gray125"/>
    </fill>
    <fill>
      <patternFill patternType="solid">
        <fgColor rgb="00FFF4E5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164" fontId="0" fillId="2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9" fontId="0" fillId="0" borderId="1" pivotButton="0" quotePrefix="0" xfId="0"/>
    <xf numFmtId="0" fontId="3" fillId="0" borderId="1" pivotButton="0" quotePrefix="0" xfId="0"/>
    <xf numFmtId="0" fontId="0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44" customWidth="1" min="4" max="4"/>
  </cols>
  <sheetData>
    <row r="1">
      <c r="A1" s="1" t="inlineStr">
        <is>
          <t>Assignment planner</t>
        </is>
      </c>
    </row>
    <row r="2">
      <c r="A2" s="2" t="inlineStr">
        <is>
          <t>Fill in the four orange cells. Everything else works itself out.</t>
        </is>
      </c>
    </row>
    <row r="4">
      <c r="A4" s="3" t="inlineStr">
        <is>
          <t>Assignment title</t>
        </is>
      </c>
      <c r="B4" s="4" t="inlineStr">
        <is>
          <t>My assignment title</t>
        </is>
      </c>
    </row>
    <row r="5">
      <c r="A5" s="3" t="inlineStr">
        <is>
          <t>Module code</t>
        </is>
      </c>
      <c r="B5" s="4" t="inlineStr">
        <is>
          <t>IS2011</t>
        </is>
      </c>
    </row>
    <row r="6">
      <c r="A6" s="3" t="inlineStr">
        <is>
          <t>Due date</t>
        </is>
      </c>
      <c r="B6" s="5">
        <f>TODAY()+28</f>
        <v/>
      </c>
      <c r="C6" s="2">
        <f>IF(B6="","",TEXT(B6,"dddd"))</f>
        <v/>
      </c>
    </row>
    <row r="7">
      <c r="A7" s="3" t="inlineStr">
        <is>
          <t>Word limit</t>
        </is>
      </c>
      <c r="B7" s="4" t="n">
        <v>2000</v>
      </c>
      <c r="D7" s="2" t="inlineStr">
        <is>
          <t>Check the brief: do references count towards the limit?</t>
        </is>
      </c>
    </row>
    <row r="9">
      <c r="A9" s="3" t="inlineStr">
        <is>
          <t>Days left</t>
        </is>
      </c>
      <c r="B9" s="6">
        <f>IF(B6="","",B6-TODAY())</f>
        <v/>
      </c>
      <c r="C9" s="2">
        <f>IF(B9="","",IF(B9&lt;0,"Overdue",IF(B9&lt;=3,"Very tight",IF(B9&lt;=10,"Start now","In hand"))))</f>
        <v/>
      </c>
    </row>
    <row r="11">
      <c r="A11" s="1" t="inlineStr">
        <is>
          <t>Milestones</t>
        </is>
      </c>
    </row>
    <row r="12">
      <c r="A12" s="7" t="inlineStr">
        <is>
          <t>Step</t>
        </is>
      </c>
      <c r="B12" s="7" t="inlineStr">
        <is>
          <t>Finish by</t>
        </is>
      </c>
      <c r="C12" s="7" t="inlineStr">
        <is>
          <t>Days left</t>
        </is>
      </c>
      <c r="D12" s="7" t="inlineStr">
        <is>
          <t>What done looks like</t>
        </is>
      </c>
    </row>
    <row r="13">
      <c r="A13" s="8" t="inlineStr">
        <is>
          <t>Read the brief and the rubric</t>
        </is>
      </c>
      <c r="B13" s="9">
        <f>IF($B$6="","",$B$6-ROUND(MAX($B$6-TODAY(),0)*0.95,0))</f>
        <v/>
      </c>
      <c r="C13" s="8">
        <f>IF(B13="","",B13-TODAY())</f>
        <v/>
      </c>
      <c r="D13" s="8" t="inlineStr">
        <is>
          <t>Five things written down: the question, the word count, the due date, the style, the rubric.</t>
        </is>
      </c>
    </row>
    <row r="14">
      <c r="A14" s="8" t="inlineStr">
        <is>
          <t>Finish reading and note-taking</t>
        </is>
      </c>
      <c r="B14" s="9">
        <f>IF($B$6="","",$B$6-ROUND(MAX($B$6-TODAY(),0)*0.6,0))</f>
        <v/>
      </c>
      <c r="C14" s="8">
        <f>IF(B14="","",B14-TODAY())</f>
        <v/>
      </c>
      <c r="D14" s="8" t="inlineStr">
        <is>
          <t>Every source you will cite is open in Zotero, read, and noted.</t>
        </is>
      </c>
    </row>
    <row r="15">
      <c r="A15" s="8" t="inlineStr">
        <is>
          <t>Outline with headings</t>
        </is>
      </c>
      <c r="B15" s="9">
        <f>IF($B$6="","",$B$6-ROUND(MAX($B$6-TODAY(),0)*0.5,0))</f>
        <v/>
      </c>
      <c r="C15" s="8">
        <f>IF(B15="","",B15-TODAY())</f>
        <v/>
      </c>
      <c r="D15" s="8" t="inlineStr">
        <is>
          <t>Heading 1 and 2 typed into the template. No prose yet.</t>
        </is>
      </c>
    </row>
    <row r="16">
      <c r="A16" s="8" t="inlineStr">
        <is>
          <t>First draft done</t>
        </is>
      </c>
      <c r="B16" s="9">
        <f>IF($B$6="","",$B$6-ROUND(MAX($B$6-TODAY(),0)*0.25,0))</f>
        <v/>
      </c>
      <c r="C16" s="8">
        <f>IF(B16="","",B16-TODAY())</f>
        <v/>
      </c>
      <c r="D16" s="8" t="inlineStr">
        <is>
          <t>Every section has words in it. Bad words are fine. No gaps.</t>
        </is>
      </c>
    </row>
    <row r="17">
      <c r="A17" s="8" t="inlineStr">
        <is>
          <t>Redraft against the rubric</t>
        </is>
      </c>
      <c r="B17" s="9">
        <f>IF($B$6="","",$B$6-ROUND(MAX($B$6-TODAY(),0)*0.12,0))</f>
        <v/>
      </c>
      <c r="C17" s="8">
        <f>IF(B17="","",B17-TODAY())</f>
        <v/>
      </c>
      <c r="D17" s="8" t="inlineStr">
        <is>
          <t>Read the rubric line by line and fix what loses marks.</t>
        </is>
      </c>
    </row>
    <row r="18">
      <c r="A18" s="8" t="inlineStr">
        <is>
          <t>References checked</t>
        </is>
      </c>
      <c r="B18" s="9">
        <f>IF($B$6="","",$B$6-ROUND(MAX($B$6-TODAY(),0)*0.07,0))</f>
        <v/>
      </c>
      <c r="C18" s="8">
        <f>IF(B18="","",B18-TODAY())</f>
        <v/>
      </c>
      <c r="D18" s="8" t="inlineStr">
        <is>
          <t>Every source opened once more. Every in-text citation is in the list, and the reverse.</t>
        </is>
      </c>
    </row>
    <row r="19">
      <c r="A19" s="8" t="inlineStr">
        <is>
          <t>Proofread and export to PDF</t>
        </is>
      </c>
      <c r="B19" s="9">
        <f>IF($B$6="","",$B$6-ROUND(MAX($B$6-TODAY(),0)*0.03,0))</f>
        <v/>
      </c>
      <c r="C19" s="8">
        <f>IF(B19="","",B19-TODAY())</f>
        <v/>
      </c>
      <c r="D19" s="8" t="inlineStr">
        <is>
          <t>Read it aloud. Update the contents page. Export, then open the PDF and look at it.</t>
        </is>
      </c>
    </row>
    <row r="20">
      <c r="A20" s="8" t="inlineStr">
        <is>
          <t>Submit</t>
        </is>
      </c>
      <c r="B20" s="9">
        <f>IF($B$6="","",$B$6-ROUND(MAX($B$6-TODAY(),0)*0.0,0))</f>
        <v/>
      </c>
      <c r="C20" s="8">
        <f>IF(B20="","",B20-TODAY())</f>
        <v/>
      </c>
      <c r="D20" s="8" t="inlineStr">
        <is>
          <t>Upload, then reopen the submission and confirm the right file is attached.</t>
        </is>
      </c>
    </row>
    <row r="22">
      <c r="A22" s="2" t="inlineStr">
        <is>
          <t>Dates move with the due date. If you are already past a milestone, do it today.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4" customWidth="1" min="4" max="4"/>
    <col width="40" customWidth="1" min="5" max="5"/>
  </cols>
  <sheetData>
    <row r="1">
      <c r="A1" s="1" t="inlineStr">
        <is>
          <t>Word budget</t>
        </is>
      </c>
    </row>
    <row r="2">
      <c r="A2" s="2" t="inlineStr">
        <is>
          <t>Change the percentages if your brief says otherwise. They should total 100.</t>
        </is>
      </c>
    </row>
    <row r="4">
      <c r="A4" s="7" t="inlineStr">
        <is>
          <t>Section</t>
        </is>
      </c>
      <c r="B4" s="7" t="inlineStr">
        <is>
          <t>Share</t>
        </is>
      </c>
      <c r="C4" s="7" t="inlineStr">
        <is>
          <t>Words</t>
        </is>
      </c>
      <c r="D4" s="7" t="inlineStr">
        <is>
          <t>Written</t>
        </is>
      </c>
      <c r="E4" s="7" t="inlineStr">
        <is>
          <t>Note</t>
        </is>
      </c>
    </row>
    <row r="5">
      <c r="A5" s="6" t="inlineStr">
        <is>
          <t>Introduction</t>
        </is>
      </c>
      <c r="B5" s="10" t="n">
        <v>0.1</v>
      </c>
      <c r="C5" s="6">
        <f>ROUND(Plan!$B$7*B5,0)</f>
        <v/>
      </c>
      <c r="D5" s="4" t="n">
        <v>0</v>
      </c>
      <c r="E5" s="6" t="inlineStr">
        <is>
          <t>What the question is and how you will answer it.</t>
        </is>
      </c>
    </row>
    <row r="6">
      <c r="A6" s="6" t="inlineStr">
        <is>
          <t>Background / literature</t>
        </is>
      </c>
      <c r="B6" s="10" t="n">
        <v>0.25</v>
      </c>
      <c r="C6" s="6">
        <f>ROUND(Plan!$B$7*B6,0)</f>
        <v/>
      </c>
      <c r="D6" s="4" t="n">
        <v>0</v>
      </c>
      <c r="E6" s="6" t="inlineStr">
        <is>
          <t>What is already known, cited.</t>
        </is>
      </c>
    </row>
    <row r="7">
      <c r="A7" s="6" t="inlineStr">
        <is>
          <t>Method or approach</t>
        </is>
      </c>
      <c r="B7" s="10" t="n">
        <v>0.15</v>
      </c>
      <c r="C7" s="6">
        <f>ROUND(Plan!$B$7*B7,0)</f>
        <v/>
      </c>
      <c r="D7" s="4" t="n">
        <v>0</v>
      </c>
      <c r="E7" s="6" t="inlineStr">
        <is>
          <t>What you did, so someone could repeat it.</t>
        </is>
      </c>
    </row>
    <row r="8">
      <c r="A8" s="6" t="inlineStr">
        <is>
          <t>Findings</t>
        </is>
      </c>
      <c r="B8" s="10" t="n">
        <v>0.2</v>
      </c>
      <c r="C8" s="6">
        <f>ROUND(Plan!$B$7*B8,0)</f>
        <v/>
      </c>
      <c r="D8" s="4" t="n">
        <v>0</v>
      </c>
      <c r="E8" s="6" t="inlineStr">
        <is>
          <t>What you found. Figures and tables belong here.</t>
        </is>
      </c>
    </row>
    <row r="9">
      <c r="A9" s="6" t="inlineStr">
        <is>
          <t>Discussion</t>
        </is>
      </c>
      <c r="B9" s="10" t="n">
        <v>0.2</v>
      </c>
      <c r="C9" s="6">
        <f>ROUND(Plan!$B$7*B9,0)</f>
        <v/>
      </c>
      <c r="D9" s="4" t="n">
        <v>0</v>
      </c>
      <c r="E9" s="6" t="inlineStr">
        <is>
          <t>What it means. This is where analysis marks are.</t>
        </is>
      </c>
    </row>
    <row r="10">
      <c r="A10" s="6" t="inlineStr">
        <is>
          <t>Conclusion</t>
        </is>
      </c>
      <c r="B10" s="10" t="n">
        <v>0.1</v>
      </c>
      <c r="C10" s="6">
        <f>ROUND(Plan!$B$7*B10,0)</f>
        <v/>
      </c>
      <c r="D10" s="4" t="n">
        <v>0</v>
      </c>
      <c r="E10" s="6" t="inlineStr">
        <is>
          <t>The answer, in a paragraph. Nothing new.</t>
        </is>
      </c>
    </row>
    <row r="11">
      <c r="A11" s="11" t="inlineStr">
        <is>
          <t>Total</t>
        </is>
      </c>
      <c r="B11" s="10">
        <f>SUM(B5:B10)</f>
        <v/>
      </c>
      <c r="C11" s="6">
        <f>SUM(C5:C10)</f>
        <v/>
      </c>
      <c r="D11" s="6">
        <f>SUM(D5:D10)</f>
        <v/>
      </c>
      <c r="E11" s="6">
        <f>IF(SUM(B5:B10)&lt;&gt;1,"Your shares do not add up to 100%.",IF(D11&gt;Plan!$B$7,"Over the word limit.","Under the limit by "&amp;(Plan!$B$7-D11)&amp;" words."))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76" customWidth="1" min="2" max="2"/>
  </cols>
  <sheetData>
    <row r="1">
      <c r="A1" s="1" t="inlineStr">
        <is>
          <t>Before you submit</t>
        </is>
      </c>
    </row>
    <row r="2">
      <c r="A2" s="2" t="inlineStr">
        <is>
          <t>Pick Yes or No in column A. Do not submit while anything says No.</t>
        </is>
      </c>
    </row>
    <row r="4">
      <c r="A4" s="7" t="inlineStr">
        <is>
          <t>Done?</t>
        </is>
      </c>
      <c r="B4" s="7" t="inlineStr">
        <is>
          <t>Check</t>
        </is>
      </c>
    </row>
    <row r="5">
      <c r="A5" s="12" t="inlineStr">
        <is>
          <t>No</t>
        </is>
      </c>
      <c r="B5" s="8" t="inlineStr">
        <is>
          <t>The file is a PDF, unless the brief asked for Word.</t>
        </is>
      </c>
    </row>
    <row r="6">
      <c r="A6" s="12" t="inlineStr">
        <is>
          <t>No</t>
        </is>
      </c>
      <c r="B6" s="8" t="inlineStr">
        <is>
          <t>The file name has my index number and the module code in it.</t>
        </is>
      </c>
    </row>
    <row r="7">
      <c r="A7" s="12" t="inlineStr">
        <is>
          <t>No</t>
        </is>
      </c>
      <c r="B7" s="8" t="inlineStr">
        <is>
          <t>The cover page is filled in and the word count is on it.</t>
        </is>
      </c>
    </row>
    <row r="8">
      <c r="A8" s="12" t="inlineStr">
        <is>
          <t>No</t>
        </is>
      </c>
      <c r="B8" s="8" t="inlineStr">
        <is>
          <t>The contents page has been updated (right-click, Update entire table).</t>
        </is>
      </c>
    </row>
    <row r="9">
      <c r="A9" s="12" t="inlineStr">
        <is>
          <t>No</t>
        </is>
      </c>
      <c r="B9" s="8" t="inlineStr">
        <is>
          <t>Every figure and table has a number and a caption, and is referred to in the text.</t>
        </is>
      </c>
    </row>
    <row r="10">
      <c r="A10" s="12" t="inlineStr">
        <is>
          <t>No</t>
        </is>
      </c>
      <c r="B10" s="8" t="inlineStr">
        <is>
          <t>Every in-text citation appears in the reference list.</t>
        </is>
      </c>
    </row>
    <row r="11">
      <c r="A11" s="12" t="inlineStr">
        <is>
          <t>No</t>
        </is>
      </c>
      <c r="B11" s="8" t="inlineStr">
        <is>
          <t>Every reference-list entry is cited somewhere in the text.</t>
        </is>
      </c>
    </row>
    <row r="12">
      <c r="A12" s="12" t="inlineStr">
        <is>
          <t>No</t>
        </is>
      </c>
      <c r="B12" s="8" t="inlineStr">
        <is>
          <t>I opened every source I cite, myself.</t>
        </is>
      </c>
    </row>
    <row r="13">
      <c r="A13" s="12" t="inlineStr">
        <is>
          <t>No</t>
        </is>
      </c>
      <c r="B13" s="8" t="inlineStr">
        <is>
          <t>The reference list is alphabetical by surname and is not numbered.</t>
        </is>
      </c>
    </row>
    <row r="14">
      <c r="A14" s="12" t="inlineStr">
        <is>
          <t>No</t>
        </is>
      </c>
      <c r="B14" s="8" t="inlineStr">
        <is>
          <t>I have read the whole thing once, out loud.</t>
        </is>
      </c>
    </row>
    <row r="15">
      <c r="A15" s="12" t="inlineStr">
        <is>
          <t>No</t>
        </is>
      </c>
      <c r="B15" s="8" t="inlineStr">
        <is>
          <t>I opened the exported PDF and looked at every page.</t>
        </is>
      </c>
    </row>
    <row r="16">
      <c r="A16" s="12" t="inlineStr">
        <is>
          <t>No</t>
        </is>
      </c>
      <c r="B16" s="8" t="inlineStr">
        <is>
          <t>The AI-use declaration is attached, if my module asks for one.</t>
        </is>
      </c>
    </row>
    <row r="17">
      <c r="A17" s="12" t="inlineStr">
        <is>
          <t>No</t>
        </is>
      </c>
      <c r="B17" s="8" t="inlineStr">
        <is>
          <t>The submission page shows the file I meant to upload.</t>
        </is>
      </c>
    </row>
    <row r="19">
      <c r="A19" s="3">
        <f>COUNTIF(A5:A17,"Yes")&amp;"/"&amp;13</f>
        <v/>
      </c>
      <c r="B19" s="3">
        <f>IF(COUNTIF(A5:A17,"Yes")=13,"Ready to submit.","Still something to do.")</f>
        <v/>
      </c>
    </row>
  </sheetData>
  <dataValidations count="1">
    <dataValidation sqref="A5 A6 A7 A8 A9 A10 A11 A12 A13 A14 A15 A16 A17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2026-09-13T11:11:46Z</dcterms:created>
  <dcterms:modified xmlns:dcterms="http://purl.org/dc/terms/" xmlns:xsi="http://www.w3.org/2001/XMLSchema-instance" xsi:type="dcterms:W3CDTF">2026-09-13T11:11:46Z</dcterms:modified>
</cp:coreProperties>
</file>