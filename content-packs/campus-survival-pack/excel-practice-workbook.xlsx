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ynthetic data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Pivot ready" sheetId="4" state="visible" r:id="rId4"/>
    <sheet xmlns:r="http://schemas.openxmlformats.org/officeDocument/2006/relationships" name="What to 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A1A1A"/>
      <sz val="14"/>
    </font>
    <font>
      <b val="1"/>
      <color rgb="008A4B00"/>
      <sz val="11"/>
    </font>
    <font>
      <b val="1"/>
      <color rgb="001A1A1A"/>
      <sz val="11"/>
    </font>
    <font>
      <b val="1"/>
      <color rgb="008A4B00"/>
      <sz val="10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Excel practice workbook</t>
        </is>
      </c>
    </row>
    <row r="3" ht="42" customHeight="1">
      <c r="A3" s="2" t="inlineStr">
        <is>
          <t>SYNTHETIC DATA — these numbers were generated for practice. They are not real statistics and must never be cited in an assignment.</t>
        </is>
      </c>
    </row>
    <row r="4">
      <c r="A4" t="inlineStr"/>
    </row>
    <row r="5">
      <c r="A5" s="3" t="inlineStr">
        <is>
          <t>What is in here</t>
        </is>
      </c>
    </row>
    <row r="6">
      <c r="A6" s="4" t="inlineStr">
        <is>
          <t>Synthetic data — 125 rows shaped like district statistics, one row per district per year.</t>
        </is>
      </c>
    </row>
    <row r="7">
      <c r="A7" s="4" t="inlineStr">
        <is>
          <t>Formulas — SUM, AVERAGE, IF, VLOOKUP and XLOOKUP, each one worked, with the answer beside it.</t>
        </is>
      </c>
    </row>
    <row r="8">
      <c r="A8" s="4" t="inlineStr">
        <is>
          <t>Pivot ready — the same data in tidy form, one row per observation, ready to select and insert a pivot table.</t>
        </is>
      </c>
    </row>
    <row r="9">
      <c r="A9" s="4" t="inlineStr">
        <is>
          <t>What to try — eight exercises, hardest last.</t>
        </is>
      </c>
    </row>
    <row r="10">
      <c r="A10" t="inlineStr"/>
    </row>
    <row r="11">
      <c r="A11" s="3" t="inlineStr">
        <is>
          <t>How to use it</t>
        </is>
      </c>
    </row>
    <row r="12">
      <c r="A12" s="4" t="inlineStr">
        <is>
          <t>Open the Formulas sheet and read the formula bar, not just the answer. Then break one on purpose and see what happens.</t>
        </is>
      </c>
    </row>
    <row r="13">
      <c r="A13" s="4" t="inlineStr">
        <is>
          <t>Do the exercises on the What to try sheet against the Pivot ready sheet.</t>
        </is>
      </c>
    </row>
    <row r="14">
      <c r="A14" s="4" t="inlineStr">
        <is>
          <t>If a formula shows #NAME?, your Excel is older than XLOOKUP. Use the VLOOKUP row instead — both are shown.</t>
        </is>
      </c>
    </row>
    <row r="15">
      <c r="A15" t="inlineStr"/>
    </row>
    <row r="16">
      <c r="A16" s="3" t="inlineStr">
        <is>
          <t>Why the data is fake</t>
        </is>
      </c>
    </row>
    <row r="17">
      <c r="A17" s="4" t="inlineStr">
        <is>
          <t>Real district statistics change, and a workbook that ships with a copy of them teaches students to cite a spreadsheet instead of the source.</t>
        </is>
      </c>
    </row>
    <row r="18">
      <c r="A18" s="4" t="inlineStr">
        <is>
          <t>For real numbers go to the Department of Census and Statistics, or the Central Bank's Annual Economic Review, and cite the publication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Synthetic district data</t>
        </is>
      </c>
    </row>
    <row r="2">
      <c r="A2" s="5" t="inlineStr">
        <is>
          <t>SYNTHETIC DATA — these numbers were generated for practice. They are not real statistics and must never be cited in an assignment.</t>
        </is>
      </c>
    </row>
    <row r="4">
      <c r="A4" s="6" t="inlineStr">
        <is>
          <t>District</t>
        </is>
      </c>
      <c r="B4" s="6" t="inlineStr">
        <is>
          <t>Province</t>
        </is>
      </c>
      <c r="C4" s="6" t="inlineStr">
        <is>
          <t>Year</t>
        </is>
      </c>
      <c r="D4" s="6" t="inlineStr">
        <is>
          <t>Population</t>
        </is>
      </c>
      <c r="E4" s="6" t="inlineStr">
        <is>
          <t>Schools</t>
        </is>
      </c>
      <c r="F4" s="6" t="inlineStr">
        <is>
          <t>Internet users (%)</t>
        </is>
      </c>
      <c r="G4" s="6" t="inlineStr">
        <is>
          <t>Households</t>
        </is>
      </c>
      <c r="H4" s="6" t="inlineStr">
        <is>
          <t>Avg. monthly income (Rs)</t>
        </is>
      </c>
    </row>
    <row r="5">
      <c r="A5" s="7" t="inlineStr">
        <is>
          <t>Colombo</t>
        </is>
      </c>
      <c r="B5" s="7" t="inlineStr">
        <is>
          <t>Western</t>
        </is>
      </c>
      <c r="C5" s="7" t="n">
        <v>2021</v>
      </c>
      <c r="D5" s="8" t="n">
        <v>580512</v>
      </c>
      <c r="E5" s="8" t="n">
        <v>314</v>
      </c>
      <c r="F5" s="9" t="n">
        <v>57.9</v>
      </c>
      <c r="G5" s="8" t="n">
        <v>156435</v>
      </c>
      <c r="H5" s="8" t="n">
        <v>91332</v>
      </c>
    </row>
    <row r="6">
      <c r="A6" s="7" t="inlineStr">
        <is>
          <t>Colombo</t>
        </is>
      </c>
      <c r="B6" s="7" t="inlineStr">
        <is>
          <t>Western</t>
        </is>
      </c>
      <c r="C6" s="7" t="n">
        <v>2022</v>
      </c>
      <c r="D6" s="8" t="n">
        <v>587889</v>
      </c>
      <c r="E6" s="8" t="n">
        <v>316</v>
      </c>
      <c r="F6" s="9" t="n">
        <v>61</v>
      </c>
      <c r="G6" s="8" t="n">
        <v>138487</v>
      </c>
      <c r="H6" s="8" t="n">
        <v>100194</v>
      </c>
    </row>
    <row r="7">
      <c r="A7" s="7" t="inlineStr">
        <is>
          <t>Colombo</t>
        </is>
      </c>
      <c r="B7" s="7" t="inlineStr">
        <is>
          <t>Western</t>
        </is>
      </c>
      <c r="C7" s="7" t="n">
        <v>2023</v>
      </c>
      <c r="D7" s="8" t="n">
        <v>595361</v>
      </c>
      <c r="E7" s="8" t="n">
        <v>326</v>
      </c>
      <c r="F7" s="9" t="n">
        <v>61.8</v>
      </c>
      <c r="G7" s="8" t="n">
        <v>146298</v>
      </c>
      <c r="H7" s="8" t="n">
        <v>101875</v>
      </c>
    </row>
    <row r="8">
      <c r="A8" s="7" t="inlineStr">
        <is>
          <t>Colombo</t>
        </is>
      </c>
      <c r="B8" s="7" t="inlineStr">
        <is>
          <t>Western</t>
        </is>
      </c>
      <c r="C8" s="7" t="n">
        <v>2024</v>
      </c>
      <c r="D8" s="8" t="n">
        <v>602928</v>
      </c>
      <c r="E8" s="8" t="n">
        <v>335</v>
      </c>
      <c r="F8" s="9" t="n">
        <v>67.3</v>
      </c>
      <c r="G8" s="8" t="n">
        <v>149224</v>
      </c>
      <c r="H8" s="8" t="n">
        <v>120243</v>
      </c>
    </row>
    <row r="9">
      <c r="A9" s="7" t="inlineStr">
        <is>
          <t>Colombo</t>
        </is>
      </c>
      <c r="B9" s="7" t="inlineStr">
        <is>
          <t>Western</t>
        </is>
      </c>
      <c r="C9" s="7" t="n">
        <v>2025</v>
      </c>
      <c r="D9" s="8" t="n">
        <v>610591</v>
      </c>
      <c r="E9" s="8" t="n">
        <v>322</v>
      </c>
      <c r="F9" s="9" t="n">
        <v>66.09999999999999</v>
      </c>
      <c r="G9" s="8" t="n">
        <v>139829</v>
      </c>
      <c r="H9" s="8" t="n">
        <v>103372</v>
      </c>
    </row>
    <row r="10">
      <c r="A10" s="7" t="inlineStr">
        <is>
          <t>Gampaha</t>
        </is>
      </c>
      <c r="B10" s="7" t="inlineStr">
        <is>
          <t>Western</t>
        </is>
      </c>
      <c r="C10" s="7" t="n">
        <v>2021</v>
      </c>
      <c r="D10" s="8" t="n">
        <v>1741385</v>
      </c>
      <c r="E10" s="8" t="n">
        <v>460</v>
      </c>
      <c r="F10" s="9" t="n">
        <v>20.2</v>
      </c>
      <c r="G10" s="8" t="n">
        <v>469163</v>
      </c>
      <c r="H10" s="8" t="n">
        <v>63947</v>
      </c>
    </row>
    <row r="11">
      <c r="A11" s="7" t="inlineStr">
        <is>
          <t>Gampaha</t>
        </is>
      </c>
      <c r="B11" s="7" t="inlineStr">
        <is>
          <t>Western</t>
        </is>
      </c>
      <c r="C11" s="7" t="n">
        <v>2022</v>
      </c>
      <c r="D11" s="8" t="n">
        <v>1757507</v>
      </c>
      <c r="E11" s="8" t="n">
        <v>463</v>
      </c>
      <c r="F11" s="9" t="n">
        <v>21.8</v>
      </c>
      <c r="G11" s="8" t="n">
        <v>429214</v>
      </c>
      <c r="H11" s="8" t="n">
        <v>67171</v>
      </c>
    </row>
    <row r="12">
      <c r="A12" s="7" t="inlineStr">
        <is>
          <t>Gampaha</t>
        </is>
      </c>
      <c r="B12" s="7" t="inlineStr">
        <is>
          <t>Western</t>
        </is>
      </c>
      <c r="C12" s="7" t="n">
        <v>2023</v>
      </c>
      <c r="D12" s="8" t="n">
        <v>1773779</v>
      </c>
      <c r="E12" s="8" t="n">
        <v>474</v>
      </c>
      <c r="F12" s="9" t="n">
        <v>25</v>
      </c>
      <c r="G12" s="8" t="n">
        <v>419052</v>
      </c>
      <c r="H12" s="8" t="n">
        <v>70293</v>
      </c>
    </row>
    <row r="13">
      <c r="A13" s="7" t="inlineStr">
        <is>
          <t>Gampaha</t>
        </is>
      </c>
      <c r="B13" s="7" t="inlineStr">
        <is>
          <t>Western</t>
        </is>
      </c>
      <c r="C13" s="7" t="n">
        <v>2024</v>
      </c>
      <c r="D13" s="8" t="n">
        <v>1790201</v>
      </c>
      <c r="E13" s="8" t="n">
        <v>448</v>
      </c>
      <c r="F13" s="9" t="n">
        <v>29.9</v>
      </c>
      <c r="G13" s="8" t="n">
        <v>447430</v>
      </c>
      <c r="H13" s="8" t="n">
        <v>76295</v>
      </c>
    </row>
    <row r="14">
      <c r="A14" s="7" t="inlineStr">
        <is>
          <t>Gampaha</t>
        </is>
      </c>
      <c r="B14" s="7" t="inlineStr">
        <is>
          <t>Western</t>
        </is>
      </c>
      <c r="C14" s="7" t="n">
        <v>2025</v>
      </c>
      <c r="D14" s="8" t="n">
        <v>1806775</v>
      </c>
      <c r="E14" s="8" t="n">
        <v>488</v>
      </c>
      <c r="F14" s="9" t="n">
        <v>28.9</v>
      </c>
      <c r="G14" s="8" t="n">
        <v>423371</v>
      </c>
      <c r="H14" s="8" t="n">
        <v>89623</v>
      </c>
    </row>
    <row r="15">
      <c r="A15" s="7" t="inlineStr">
        <is>
          <t>Kalutara</t>
        </is>
      </c>
      <c r="B15" s="7" t="inlineStr">
        <is>
          <t>Western</t>
        </is>
      </c>
      <c r="C15" s="7" t="n">
        <v>2021</v>
      </c>
      <c r="D15" s="8" t="n">
        <v>1056369</v>
      </c>
      <c r="E15" s="8" t="n">
        <v>825</v>
      </c>
      <c r="F15" s="9" t="n">
        <v>23.9</v>
      </c>
      <c r="G15" s="8" t="n">
        <v>267850</v>
      </c>
      <c r="H15" s="8" t="n">
        <v>48737</v>
      </c>
    </row>
    <row r="16">
      <c r="A16" s="7" t="inlineStr">
        <is>
          <t>Kalutara</t>
        </is>
      </c>
      <c r="B16" s="7" t="inlineStr">
        <is>
          <t>Western</t>
        </is>
      </c>
      <c r="C16" s="7" t="n">
        <v>2022</v>
      </c>
      <c r="D16" s="8" t="n">
        <v>1074227</v>
      </c>
      <c r="E16" s="8" t="n">
        <v>830</v>
      </c>
      <c r="F16" s="9" t="n">
        <v>25.9</v>
      </c>
      <c r="G16" s="8" t="n">
        <v>248418</v>
      </c>
      <c r="H16" s="8" t="n">
        <v>53837</v>
      </c>
    </row>
    <row r="17">
      <c r="A17" s="7" t="inlineStr">
        <is>
          <t>Kalutara</t>
        </is>
      </c>
      <c r="B17" s="7" t="inlineStr">
        <is>
          <t>Western</t>
        </is>
      </c>
      <c r="C17" s="7" t="n">
        <v>2023</v>
      </c>
      <c r="D17" s="8" t="n">
        <v>1092388</v>
      </c>
      <c r="E17" s="8" t="n">
        <v>841</v>
      </c>
      <c r="F17" s="9" t="n">
        <v>32.7</v>
      </c>
      <c r="G17" s="8" t="n">
        <v>267741</v>
      </c>
      <c r="H17" s="8" t="n">
        <v>57573</v>
      </c>
    </row>
    <row r="18">
      <c r="A18" s="7" t="inlineStr">
        <is>
          <t>Kalutara</t>
        </is>
      </c>
      <c r="B18" s="7" t="inlineStr">
        <is>
          <t>Western</t>
        </is>
      </c>
      <c r="C18" s="7" t="n">
        <v>2024</v>
      </c>
      <c r="D18" s="8" t="n">
        <v>1110856</v>
      </c>
      <c r="E18" s="8" t="n">
        <v>825</v>
      </c>
      <c r="F18" s="9" t="n">
        <v>35.7</v>
      </c>
      <c r="G18" s="8" t="n">
        <v>306719</v>
      </c>
      <c r="H18" s="8" t="n">
        <v>65615</v>
      </c>
    </row>
    <row r="19">
      <c r="A19" s="7" t="inlineStr">
        <is>
          <t>Kalutara</t>
        </is>
      </c>
      <c r="B19" s="7" t="inlineStr">
        <is>
          <t>Western</t>
        </is>
      </c>
      <c r="C19" s="7" t="n">
        <v>2025</v>
      </c>
      <c r="D19" s="8" t="n">
        <v>1129636</v>
      </c>
      <c r="E19" s="8" t="n">
        <v>833</v>
      </c>
      <c r="F19" s="9" t="n">
        <v>35.9</v>
      </c>
      <c r="G19" s="8" t="n">
        <v>285501</v>
      </c>
      <c r="H19" s="8" t="n">
        <v>64142</v>
      </c>
    </row>
    <row r="20">
      <c r="A20" s="7" t="inlineStr">
        <is>
          <t>Kandy</t>
        </is>
      </c>
      <c r="B20" s="7" t="inlineStr">
        <is>
          <t>Central</t>
        </is>
      </c>
      <c r="C20" s="7" t="n">
        <v>2021</v>
      </c>
      <c r="D20" s="8" t="n">
        <v>418247</v>
      </c>
      <c r="E20" s="8" t="n">
        <v>264</v>
      </c>
      <c r="F20" s="9" t="n">
        <v>58.4</v>
      </c>
      <c r="G20" s="8" t="n">
        <v>95404</v>
      </c>
      <c r="H20" s="8" t="n">
        <v>70169</v>
      </c>
    </row>
    <row r="21">
      <c r="A21" s="7" t="inlineStr">
        <is>
          <t>Kandy</t>
        </is>
      </c>
      <c r="B21" s="7" t="inlineStr">
        <is>
          <t>Central</t>
        </is>
      </c>
      <c r="C21" s="7" t="n">
        <v>2022</v>
      </c>
      <c r="D21" s="8" t="n">
        <v>422808</v>
      </c>
      <c r="E21" s="8" t="n">
        <v>272</v>
      </c>
      <c r="F21" s="9" t="n">
        <v>60</v>
      </c>
      <c r="G21" s="8" t="n">
        <v>96430</v>
      </c>
      <c r="H21" s="8" t="n">
        <v>73053</v>
      </c>
    </row>
    <row r="22">
      <c r="A22" s="7" t="inlineStr">
        <is>
          <t>Kandy</t>
        </is>
      </c>
      <c r="B22" s="7" t="inlineStr">
        <is>
          <t>Central</t>
        </is>
      </c>
      <c r="C22" s="7" t="n">
        <v>2023</v>
      </c>
      <c r="D22" s="8" t="n">
        <v>427419</v>
      </c>
      <c r="E22" s="8" t="n">
        <v>274</v>
      </c>
      <c r="F22" s="9" t="n">
        <v>63.1</v>
      </c>
      <c r="G22" s="8" t="n">
        <v>118067</v>
      </c>
      <c r="H22" s="8" t="n">
        <v>77854</v>
      </c>
    </row>
    <row r="23">
      <c r="A23" s="7" t="inlineStr">
        <is>
          <t>Kandy</t>
        </is>
      </c>
      <c r="B23" s="7" t="inlineStr">
        <is>
          <t>Central</t>
        </is>
      </c>
      <c r="C23" s="7" t="n">
        <v>2024</v>
      </c>
      <c r="D23" s="8" t="n">
        <v>432081</v>
      </c>
      <c r="E23" s="8" t="n">
        <v>270</v>
      </c>
      <c r="F23" s="9" t="n">
        <v>68.5</v>
      </c>
      <c r="G23" s="8" t="n">
        <v>104580</v>
      </c>
      <c r="H23" s="8" t="n">
        <v>81998</v>
      </c>
    </row>
    <row r="24">
      <c r="A24" s="7" t="inlineStr">
        <is>
          <t>Kandy</t>
        </is>
      </c>
      <c r="B24" s="7" t="inlineStr">
        <is>
          <t>Central</t>
        </is>
      </c>
      <c r="C24" s="7" t="n">
        <v>2025</v>
      </c>
      <c r="D24" s="8" t="n">
        <v>436793</v>
      </c>
      <c r="E24" s="8" t="n">
        <v>280</v>
      </c>
      <c r="F24" s="9" t="n">
        <v>76.40000000000001</v>
      </c>
      <c r="G24" s="8" t="n">
        <v>101880</v>
      </c>
      <c r="H24" s="8" t="n">
        <v>83469</v>
      </c>
    </row>
    <row r="25">
      <c r="A25" s="7" t="inlineStr">
        <is>
          <t>Matale</t>
        </is>
      </c>
      <c r="B25" s="7" t="inlineStr">
        <is>
          <t>Central</t>
        </is>
      </c>
      <c r="C25" s="7" t="n">
        <v>2021</v>
      </c>
      <c r="D25" s="8" t="n">
        <v>1981406</v>
      </c>
      <c r="E25" s="8" t="n">
        <v>383</v>
      </c>
      <c r="F25" s="9" t="n">
        <v>49.7</v>
      </c>
      <c r="G25" s="8" t="n">
        <v>497136</v>
      </c>
      <c r="H25" s="8" t="n">
        <v>43408</v>
      </c>
    </row>
    <row r="26">
      <c r="A26" s="7" t="inlineStr">
        <is>
          <t>Matale</t>
        </is>
      </c>
      <c r="B26" s="7" t="inlineStr">
        <is>
          <t>Central</t>
        </is>
      </c>
      <c r="C26" s="7" t="n">
        <v>2022</v>
      </c>
      <c r="D26" s="8" t="n">
        <v>1992744</v>
      </c>
      <c r="E26" s="8" t="n">
        <v>386</v>
      </c>
      <c r="F26" s="9" t="n">
        <v>52</v>
      </c>
      <c r="G26" s="8" t="n">
        <v>501498</v>
      </c>
      <c r="H26" s="8" t="n">
        <v>45389</v>
      </c>
    </row>
    <row r="27">
      <c r="A27" s="7" t="inlineStr">
        <is>
          <t>Matale</t>
        </is>
      </c>
      <c r="B27" s="7" t="inlineStr">
        <is>
          <t>Central</t>
        </is>
      </c>
      <c r="C27" s="7" t="n">
        <v>2023</v>
      </c>
      <c r="D27" s="8" t="n">
        <v>2004148</v>
      </c>
      <c r="E27" s="8" t="n">
        <v>397</v>
      </c>
      <c r="F27" s="9" t="n">
        <v>55.1</v>
      </c>
      <c r="G27" s="8" t="n">
        <v>486845</v>
      </c>
      <c r="H27" s="8" t="n">
        <v>46728</v>
      </c>
    </row>
    <row r="28">
      <c r="A28" s="7" t="inlineStr">
        <is>
          <t>Matale</t>
        </is>
      </c>
      <c r="B28" s="7" t="inlineStr">
        <is>
          <t>Central</t>
        </is>
      </c>
      <c r="C28" s="7" t="n">
        <v>2024</v>
      </c>
      <c r="D28" s="8" t="n">
        <v>2015617</v>
      </c>
      <c r="E28" s="8" t="n">
        <v>398</v>
      </c>
      <c r="F28" s="9" t="n">
        <v>57</v>
      </c>
      <c r="G28" s="8" t="n">
        <v>531872</v>
      </c>
      <c r="H28" s="8" t="n">
        <v>56312</v>
      </c>
    </row>
    <row r="29">
      <c r="A29" s="7" t="inlineStr">
        <is>
          <t>Matale</t>
        </is>
      </c>
      <c r="B29" s="7" t="inlineStr">
        <is>
          <t>Central</t>
        </is>
      </c>
      <c r="C29" s="7" t="n">
        <v>2025</v>
      </c>
      <c r="D29" s="8" t="n">
        <v>2027152</v>
      </c>
      <c r="E29" s="8" t="n">
        <v>379</v>
      </c>
      <c r="F29" s="9" t="n">
        <v>64.59999999999999</v>
      </c>
      <c r="G29" s="8" t="n">
        <v>479992</v>
      </c>
      <c r="H29" s="8" t="n">
        <v>61059</v>
      </c>
    </row>
    <row r="30">
      <c r="A30" s="7" t="inlineStr">
        <is>
          <t>Nuwara Eliya</t>
        </is>
      </c>
      <c r="B30" s="7" t="inlineStr">
        <is>
          <t>Central</t>
        </is>
      </c>
      <c r="C30" s="7" t="n">
        <v>2021</v>
      </c>
      <c r="D30" s="8" t="n">
        <v>1490186</v>
      </c>
      <c r="E30" s="8" t="n">
        <v>338</v>
      </c>
      <c r="F30" s="9" t="n">
        <v>38.2</v>
      </c>
      <c r="G30" s="8" t="n">
        <v>380146</v>
      </c>
      <c r="H30" s="8" t="n">
        <v>51742</v>
      </c>
    </row>
    <row r="31">
      <c r="A31" s="7" t="inlineStr">
        <is>
          <t>Nuwara Eliya</t>
        </is>
      </c>
      <c r="B31" s="7" t="inlineStr">
        <is>
          <t>Central</t>
        </is>
      </c>
      <c r="C31" s="7" t="n">
        <v>2022</v>
      </c>
      <c r="D31" s="8" t="n">
        <v>1503902</v>
      </c>
      <c r="E31" s="8" t="n">
        <v>338</v>
      </c>
      <c r="F31" s="9" t="n">
        <v>42.5</v>
      </c>
      <c r="G31" s="8" t="n">
        <v>380808</v>
      </c>
      <c r="H31" s="8" t="n">
        <v>53646</v>
      </c>
    </row>
    <row r="32">
      <c r="A32" s="7" t="inlineStr">
        <is>
          <t>Nuwara Eliya</t>
        </is>
      </c>
      <c r="B32" s="7" t="inlineStr">
        <is>
          <t>Central</t>
        </is>
      </c>
      <c r="C32" s="7" t="n">
        <v>2023</v>
      </c>
      <c r="D32" s="8" t="n">
        <v>1517744</v>
      </c>
      <c r="E32" s="8" t="n">
        <v>332</v>
      </c>
      <c r="F32" s="9" t="n">
        <v>45</v>
      </c>
      <c r="G32" s="8" t="n">
        <v>385989</v>
      </c>
      <c r="H32" s="8" t="n">
        <v>59145</v>
      </c>
    </row>
    <row r="33">
      <c r="A33" s="7" t="inlineStr">
        <is>
          <t>Nuwara Eliya</t>
        </is>
      </c>
      <c r="B33" s="7" t="inlineStr">
        <is>
          <t>Central</t>
        </is>
      </c>
      <c r="C33" s="7" t="n">
        <v>2024</v>
      </c>
      <c r="D33" s="8" t="n">
        <v>1531714</v>
      </c>
      <c r="E33" s="8" t="n">
        <v>338</v>
      </c>
      <c r="F33" s="9" t="n">
        <v>45.8</v>
      </c>
      <c r="G33" s="8" t="n">
        <v>417008</v>
      </c>
      <c r="H33" s="8" t="n">
        <v>69944</v>
      </c>
    </row>
    <row r="34">
      <c r="A34" s="7" t="inlineStr">
        <is>
          <t>Nuwara Eliya</t>
        </is>
      </c>
      <c r="B34" s="7" t="inlineStr">
        <is>
          <t>Central</t>
        </is>
      </c>
      <c r="C34" s="7" t="n">
        <v>2025</v>
      </c>
      <c r="D34" s="8" t="n">
        <v>1545812</v>
      </c>
      <c r="E34" s="8" t="n">
        <v>342</v>
      </c>
      <c r="F34" s="9" t="n">
        <v>52.4</v>
      </c>
      <c r="G34" s="8" t="n">
        <v>383440</v>
      </c>
      <c r="H34" s="8" t="n">
        <v>59246</v>
      </c>
    </row>
    <row r="35">
      <c r="A35" s="7" t="inlineStr">
        <is>
          <t>Galle</t>
        </is>
      </c>
      <c r="B35" s="7" t="inlineStr">
        <is>
          <t>Southern</t>
        </is>
      </c>
      <c r="C35" s="7" t="n">
        <v>2021</v>
      </c>
      <c r="D35" s="8" t="n">
        <v>2334217</v>
      </c>
      <c r="E35" s="8" t="n">
        <v>857</v>
      </c>
      <c r="F35" s="9" t="n">
        <v>30.9</v>
      </c>
      <c r="G35" s="8" t="n">
        <v>630611</v>
      </c>
      <c r="H35" s="8" t="n">
        <v>60869</v>
      </c>
    </row>
    <row r="36">
      <c r="A36" s="7" t="inlineStr">
        <is>
          <t>Galle</t>
        </is>
      </c>
      <c r="B36" s="7" t="inlineStr">
        <is>
          <t>Southern</t>
        </is>
      </c>
      <c r="C36" s="7" t="n">
        <v>2022</v>
      </c>
      <c r="D36" s="8" t="n">
        <v>2362662</v>
      </c>
      <c r="E36" s="8" t="n">
        <v>863</v>
      </c>
      <c r="F36" s="9" t="n">
        <v>32.7</v>
      </c>
      <c r="G36" s="8" t="n">
        <v>586080</v>
      </c>
      <c r="H36" s="8" t="n">
        <v>65156</v>
      </c>
    </row>
    <row r="37">
      <c r="A37" s="7" t="inlineStr">
        <is>
          <t>Galle</t>
        </is>
      </c>
      <c r="B37" s="7" t="inlineStr">
        <is>
          <t>Southern</t>
        </is>
      </c>
      <c r="C37" s="7" t="n">
        <v>2023</v>
      </c>
      <c r="D37" s="8" t="n">
        <v>2391455</v>
      </c>
      <c r="E37" s="8" t="n">
        <v>865</v>
      </c>
      <c r="F37" s="9" t="n">
        <v>36.7</v>
      </c>
      <c r="G37" s="8" t="n">
        <v>661562</v>
      </c>
      <c r="H37" s="8" t="n">
        <v>70129</v>
      </c>
    </row>
    <row r="38">
      <c r="A38" s="7" t="inlineStr">
        <is>
          <t>Galle</t>
        </is>
      </c>
      <c r="B38" s="7" t="inlineStr">
        <is>
          <t>Southern</t>
        </is>
      </c>
      <c r="C38" s="7" t="n">
        <v>2024</v>
      </c>
      <c r="D38" s="8" t="n">
        <v>2420599</v>
      </c>
      <c r="E38" s="8" t="n">
        <v>857</v>
      </c>
      <c r="F38" s="9" t="n">
        <v>41.7</v>
      </c>
      <c r="G38" s="8" t="n">
        <v>599439</v>
      </c>
      <c r="H38" s="8" t="n">
        <v>78928</v>
      </c>
    </row>
    <row r="39">
      <c r="A39" s="7" t="inlineStr">
        <is>
          <t>Galle</t>
        </is>
      </c>
      <c r="B39" s="7" t="inlineStr">
        <is>
          <t>Southern</t>
        </is>
      </c>
      <c r="C39" s="7" t="n">
        <v>2025</v>
      </c>
      <c r="D39" s="8" t="n">
        <v>2450097</v>
      </c>
      <c r="E39" s="8" t="n">
        <v>845</v>
      </c>
      <c r="F39" s="9" t="n">
        <v>38.1</v>
      </c>
      <c r="G39" s="8" t="n">
        <v>666539</v>
      </c>
      <c r="H39" s="8" t="n">
        <v>69206</v>
      </c>
    </row>
    <row r="40">
      <c r="A40" s="7" t="inlineStr">
        <is>
          <t>Matara</t>
        </is>
      </c>
      <c r="B40" s="7" t="inlineStr">
        <is>
          <t>Southern</t>
        </is>
      </c>
      <c r="C40" s="7" t="n">
        <v>2021</v>
      </c>
      <c r="D40" s="8" t="n">
        <v>2084365</v>
      </c>
      <c r="E40" s="8" t="n">
        <v>623</v>
      </c>
      <c r="F40" s="9" t="n">
        <v>32.6</v>
      </c>
      <c r="G40" s="8" t="n">
        <v>535559</v>
      </c>
      <c r="H40" s="8" t="n">
        <v>93597</v>
      </c>
    </row>
    <row r="41">
      <c r="A41" s="7" t="inlineStr">
        <is>
          <t>Matara</t>
        </is>
      </c>
      <c r="B41" s="7" t="inlineStr">
        <is>
          <t>Southern</t>
        </is>
      </c>
      <c r="C41" s="7" t="n">
        <v>2022</v>
      </c>
      <c r="D41" s="8" t="n">
        <v>2106755</v>
      </c>
      <c r="E41" s="8" t="n">
        <v>625</v>
      </c>
      <c r="F41" s="9" t="n">
        <v>35.7</v>
      </c>
      <c r="G41" s="8" t="n">
        <v>559275</v>
      </c>
      <c r="H41" s="8" t="n">
        <v>98768</v>
      </c>
    </row>
    <row r="42">
      <c r="A42" s="7" t="inlineStr">
        <is>
          <t>Matara</t>
        </is>
      </c>
      <c r="B42" s="7" t="inlineStr">
        <is>
          <t>Southern</t>
        </is>
      </c>
      <c r="C42" s="7" t="n">
        <v>2023</v>
      </c>
      <c r="D42" s="8" t="n">
        <v>2129385</v>
      </c>
      <c r="E42" s="8" t="n">
        <v>623</v>
      </c>
      <c r="F42" s="9" t="n">
        <v>40.2</v>
      </c>
      <c r="G42" s="8" t="n">
        <v>538940</v>
      </c>
      <c r="H42" s="8" t="n">
        <v>109103</v>
      </c>
    </row>
    <row r="43">
      <c r="A43" s="7" t="inlineStr">
        <is>
          <t>Matara</t>
        </is>
      </c>
      <c r="B43" s="7" t="inlineStr">
        <is>
          <t>Southern</t>
        </is>
      </c>
      <c r="C43" s="7" t="n">
        <v>2024</v>
      </c>
      <c r="D43" s="8" t="n">
        <v>2152259</v>
      </c>
      <c r="E43" s="8" t="n">
        <v>614</v>
      </c>
      <c r="F43" s="9" t="n">
        <v>45.8</v>
      </c>
      <c r="G43" s="8" t="n">
        <v>523944</v>
      </c>
      <c r="H43" s="8" t="n">
        <v>104141</v>
      </c>
    </row>
    <row r="44">
      <c r="A44" s="7" t="inlineStr">
        <is>
          <t>Matara</t>
        </is>
      </c>
      <c r="B44" s="7" t="inlineStr">
        <is>
          <t>Southern</t>
        </is>
      </c>
      <c r="C44" s="7" t="n">
        <v>2025</v>
      </c>
      <c r="D44" s="8" t="n">
        <v>2175379</v>
      </c>
      <c r="E44" s="8" t="n">
        <v>647</v>
      </c>
      <c r="F44" s="9" t="n">
        <v>47.4</v>
      </c>
      <c r="G44" s="8" t="n">
        <v>586177</v>
      </c>
      <c r="H44" s="8" t="n">
        <v>136985</v>
      </c>
    </row>
    <row r="45">
      <c r="A45" s="7" t="inlineStr">
        <is>
          <t>Hambantota</t>
        </is>
      </c>
      <c r="B45" s="7" t="inlineStr">
        <is>
          <t>Southern</t>
        </is>
      </c>
      <c r="C45" s="7" t="n">
        <v>2021</v>
      </c>
      <c r="D45" s="8" t="n">
        <v>934478</v>
      </c>
      <c r="E45" s="8" t="n">
        <v>871</v>
      </c>
      <c r="F45" s="9" t="n">
        <v>50</v>
      </c>
      <c r="G45" s="8" t="n">
        <v>252251</v>
      </c>
      <c r="H45" s="8" t="n">
        <v>38829</v>
      </c>
    </row>
    <row r="46">
      <c r="A46" s="7" t="inlineStr">
        <is>
          <t>Hambantota</t>
        </is>
      </c>
      <c r="B46" s="7" t="inlineStr">
        <is>
          <t>Southern</t>
        </is>
      </c>
      <c r="C46" s="7" t="n">
        <v>2022</v>
      </c>
      <c r="D46" s="8" t="n">
        <v>941561</v>
      </c>
      <c r="E46" s="8" t="n">
        <v>880</v>
      </c>
      <c r="F46" s="9" t="n">
        <v>52.6</v>
      </c>
      <c r="G46" s="8" t="n">
        <v>250606</v>
      </c>
      <c r="H46" s="8" t="n">
        <v>40405</v>
      </c>
    </row>
    <row r="47">
      <c r="A47" s="7" t="inlineStr">
        <is>
          <t>Hambantota</t>
        </is>
      </c>
      <c r="B47" s="7" t="inlineStr">
        <is>
          <t>Southern</t>
        </is>
      </c>
      <c r="C47" s="7" t="n">
        <v>2023</v>
      </c>
      <c r="D47" s="8" t="n">
        <v>948699</v>
      </c>
      <c r="E47" s="8" t="n">
        <v>879</v>
      </c>
      <c r="F47" s="9" t="n">
        <v>54.9</v>
      </c>
      <c r="G47" s="8" t="n">
        <v>227974</v>
      </c>
      <c r="H47" s="8" t="n">
        <v>46397</v>
      </c>
    </row>
    <row r="48">
      <c r="A48" s="7" t="inlineStr">
        <is>
          <t>Hambantota</t>
        </is>
      </c>
      <c r="B48" s="7" t="inlineStr">
        <is>
          <t>Southern</t>
        </is>
      </c>
      <c r="C48" s="7" t="n">
        <v>2024</v>
      </c>
      <c r="D48" s="8" t="n">
        <v>955891</v>
      </c>
      <c r="E48" s="8" t="n">
        <v>868</v>
      </c>
      <c r="F48" s="9" t="n">
        <v>63.5</v>
      </c>
      <c r="G48" s="8" t="n">
        <v>235864</v>
      </c>
      <c r="H48" s="8" t="n">
        <v>43468</v>
      </c>
    </row>
    <row r="49">
      <c r="A49" s="7" t="inlineStr">
        <is>
          <t>Hambantota</t>
        </is>
      </c>
      <c r="B49" s="7" t="inlineStr">
        <is>
          <t>Southern</t>
        </is>
      </c>
      <c r="C49" s="7" t="n">
        <v>2025</v>
      </c>
      <c r="D49" s="8" t="n">
        <v>963137</v>
      </c>
      <c r="E49" s="8" t="n">
        <v>879</v>
      </c>
      <c r="F49" s="9" t="n">
        <v>60</v>
      </c>
      <c r="G49" s="8" t="n">
        <v>241070</v>
      </c>
      <c r="H49" s="8" t="n">
        <v>47064</v>
      </c>
    </row>
    <row r="50">
      <c r="A50" s="7" t="inlineStr">
        <is>
          <t>Jaffna</t>
        </is>
      </c>
      <c r="B50" s="7" t="inlineStr">
        <is>
          <t>Northern</t>
        </is>
      </c>
      <c r="C50" s="7" t="n">
        <v>2021</v>
      </c>
      <c r="D50" s="8" t="n">
        <v>2025023</v>
      </c>
      <c r="E50" s="8" t="n">
        <v>264</v>
      </c>
      <c r="F50" s="9" t="n">
        <v>32.9</v>
      </c>
      <c r="G50" s="8" t="n">
        <v>528595</v>
      </c>
      <c r="H50" s="8" t="n">
        <v>80551</v>
      </c>
    </row>
    <row r="51">
      <c r="A51" s="7" t="inlineStr">
        <is>
          <t>Jaffna</t>
        </is>
      </c>
      <c r="B51" s="7" t="inlineStr">
        <is>
          <t>Northern</t>
        </is>
      </c>
      <c r="C51" s="7" t="n">
        <v>2022</v>
      </c>
      <c r="D51" s="8" t="n">
        <v>2055010</v>
      </c>
      <c r="E51" s="8" t="n">
        <v>270</v>
      </c>
      <c r="F51" s="9" t="n">
        <v>36.5</v>
      </c>
      <c r="G51" s="8" t="n">
        <v>504852</v>
      </c>
      <c r="H51" s="8" t="n">
        <v>86874</v>
      </c>
    </row>
    <row r="52">
      <c r="A52" s="7" t="inlineStr">
        <is>
          <t>Jaffna</t>
        </is>
      </c>
      <c r="B52" s="7" t="inlineStr">
        <is>
          <t>Northern</t>
        </is>
      </c>
      <c r="C52" s="7" t="n">
        <v>2023</v>
      </c>
      <c r="D52" s="8" t="n">
        <v>2085442</v>
      </c>
      <c r="E52" s="8" t="n">
        <v>256</v>
      </c>
      <c r="F52" s="9" t="n">
        <v>37.7</v>
      </c>
      <c r="G52" s="8" t="n">
        <v>552667</v>
      </c>
      <c r="H52" s="8" t="n">
        <v>98616</v>
      </c>
    </row>
    <row r="53">
      <c r="A53" s="7" t="inlineStr">
        <is>
          <t>Jaffna</t>
        </is>
      </c>
      <c r="B53" s="7" t="inlineStr">
        <is>
          <t>Northern</t>
        </is>
      </c>
      <c r="C53" s="7" t="n">
        <v>2024</v>
      </c>
      <c r="D53" s="8" t="n">
        <v>2116324</v>
      </c>
      <c r="E53" s="8" t="n">
        <v>288</v>
      </c>
      <c r="F53" s="9" t="n">
        <v>38.6</v>
      </c>
      <c r="G53" s="8" t="n">
        <v>481934</v>
      </c>
      <c r="H53" s="8" t="n">
        <v>92590</v>
      </c>
    </row>
    <row r="54">
      <c r="A54" s="7" t="inlineStr">
        <is>
          <t>Jaffna</t>
        </is>
      </c>
      <c r="B54" s="7" t="inlineStr">
        <is>
          <t>Northern</t>
        </is>
      </c>
      <c r="C54" s="7" t="n">
        <v>2025</v>
      </c>
      <c r="D54" s="8" t="n">
        <v>2147663</v>
      </c>
      <c r="E54" s="8" t="n">
        <v>252</v>
      </c>
      <c r="F54" s="9" t="n">
        <v>39.3</v>
      </c>
      <c r="G54" s="8" t="n">
        <v>567476</v>
      </c>
      <c r="H54" s="8" t="n">
        <v>120010</v>
      </c>
    </row>
    <row r="55">
      <c r="A55" s="7" t="inlineStr">
        <is>
          <t>Kilinochchi</t>
        </is>
      </c>
      <c r="B55" s="7" t="inlineStr">
        <is>
          <t>Northern</t>
        </is>
      </c>
      <c r="C55" s="7" t="n">
        <v>2021</v>
      </c>
      <c r="D55" s="8" t="n">
        <v>1098567</v>
      </c>
      <c r="E55" s="8" t="n">
        <v>822</v>
      </c>
      <c r="F55" s="9" t="n">
        <v>55.2</v>
      </c>
      <c r="G55" s="8" t="n">
        <v>250646</v>
      </c>
      <c r="H55" s="8" t="n">
        <v>75049</v>
      </c>
    </row>
    <row r="56">
      <c r="A56" s="7" t="inlineStr">
        <is>
          <t>Kilinochchi</t>
        </is>
      </c>
      <c r="B56" s="7" t="inlineStr">
        <is>
          <t>Northern</t>
        </is>
      </c>
      <c r="C56" s="7" t="n">
        <v>2022</v>
      </c>
      <c r="D56" s="8" t="n">
        <v>1108352</v>
      </c>
      <c r="E56" s="8" t="n">
        <v>822</v>
      </c>
      <c r="F56" s="9" t="n">
        <v>57</v>
      </c>
      <c r="G56" s="8" t="n">
        <v>287579</v>
      </c>
      <c r="H56" s="8" t="n">
        <v>81350</v>
      </c>
    </row>
    <row r="57">
      <c r="A57" s="7" t="inlineStr">
        <is>
          <t>Kilinochchi</t>
        </is>
      </c>
      <c r="B57" s="7" t="inlineStr">
        <is>
          <t>Northern</t>
        </is>
      </c>
      <c r="C57" s="7" t="n">
        <v>2023</v>
      </c>
      <c r="D57" s="8" t="n">
        <v>1118226</v>
      </c>
      <c r="E57" s="8" t="n">
        <v>828</v>
      </c>
      <c r="F57" s="9" t="n">
        <v>63</v>
      </c>
      <c r="G57" s="8" t="n">
        <v>260870</v>
      </c>
      <c r="H57" s="8" t="n">
        <v>81521</v>
      </c>
    </row>
    <row r="58">
      <c r="A58" s="7" t="inlineStr">
        <is>
          <t>Kilinochchi</t>
        </is>
      </c>
      <c r="B58" s="7" t="inlineStr">
        <is>
          <t>Northern</t>
        </is>
      </c>
      <c r="C58" s="7" t="n">
        <v>2024</v>
      </c>
      <c r="D58" s="8" t="n">
        <v>1128187</v>
      </c>
      <c r="E58" s="8" t="n">
        <v>840</v>
      </c>
      <c r="F58" s="9" t="n">
        <v>61.4</v>
      </c>
      <c r="G58" s="8" t="n">
        <v>269021</v>
      </c>
      <c r="H58" s="8" t="n">
        <v>85402</v>
      </c>
    </row>
    <row r="59">
      <c r="A59" s="7" t="inlineStr">
        <is>
          <t>Kilinochchi</t>
        </is>
      </c>
      <c r="B59" s="7" t="inlineStr">
        <is>
          <t>Northern</t>
        </is>
      </c>
      <c r="C59" s="7" t="n">
        <v>2025</v>
      </c>
      <c r="D59" s="8" t="n">
        <v>1138237</v>
      </c>
      <c r="E59" s="8" t="n">
        <v>818</v>
      </c>
      <c r="F59" s="9" t="n">
        <v>68</v>
      </c>
      <c r="G59" s="8" t="n">
        <v>282052</v>
      </c>
      <c r="H59" s="8" t="n">
        <v>88787</v>
      </c>
    </row>
    <row r="60">
      <c r="A60" s="7" t="inlineStr">
        <is>
          <t>Mannar</t>
        </is>
      </c>
      <c r="B60" s="7" t="inlineStr">
        <is>
          <t>Northern</t>
        </is>
      </c>
      <c r="C60" s="7" t="n">
        <v>2021</v>
      </c>
      <c r="D60" s="8" t="n">
        <v>717742</v>
      </c>
      <c r="E60" s="8" t="n">
        <v>852</v>
      </c>
      <c r="F60" s="9" t="n">
        <v>49.7</v>
      </c>
      <c r="G60" s="8" t="n">
        <v>172949</v>
      </c>
      <c r="H60" s="8" t="n">
        <v>48210</v>
      </c>
    </row>
    <row r="61">
      <c r="A61" s="7" t="inlineStr">
        <is>
          <t>Mannar</t>
        </is>
      </c>
      <c r="B61" s="7" t="inlineStr">
        <is>
          <t>Northern</t>
        </is>
      </c>
      <c r="C61" s="7" t="n">
        <v>2022</v>
      </c>
      <c r="D61" s="8" t="n">
        <v>723622</v>
      </c>
      <c r="E61" s="8" t="n">
        <v>855</v>
      </c>
      <c r="F61" s="9" t="n">
        <v>53.7</v>
      </c>
      <c r="G61" s="8" t="n">
        <v>191233</v>
      </c>
      <c r="H61" s="8" t="n">
        <v>52224</v>
      </c>
    </row>
    <row r="62">
      <c r="A62" s="7" t="inlineStr">
        <is>
          <t>Mannar</t>
        </is>
      </c>
      <c r="B62" s="7" t="inlineStr">
        <is>
          <t>Northern</t>
        </is>
      </c>
      <c r="C62" s="7" t="n">
        <v>2023</v>
      </c>
      <c r="D62" s="8" t="n">
        <v>729550</v>
      </c>
      <c r="E62" s="8" t="n">
        <v>844</v>
      </c>
      <c r="F62" s="9" t="n">
        <v>55.8</v>
      </c>
      <c r="G62" s="8" t="n">
        <v>197802</v>
      </c>
      <c r="H62" s="8" t="n">
        <v>58423</v>
      </c>
    </row>
    <row r="63">
      <c r="A63" s="7" t="inlineStr">
        <is>
          <t>Mannar</t>
        </is>
      </c>
      <c r="B63" s="7" t="inlineStr">
        <is>
          <t>Northern</t>
        </is>
      </c>
      <c r="C63" s="7" t="n">
        <v>2024</v>
      </c>
      <c r="D63" s="8" t="n">
        <v>735528</v>
      </c>
      <c r="E63" s="8" t="n">
        <v>846</v>
      </c>
      <c r="F63" s="9" t="n">
        <v>58.5</v>
      </c>
      <c r="G63" s="8" t="n">
        <v>198689</v>
      </c>
      <c r="H63" s="8" t="n">
        <v>65089</v>
      </c>
    </row>
    <row r="64">
      <c r="A64" s="7" t="inlineStr">
        <is>
          <t>Mannar</t>
        </is>
      </c>
      <c r="B64" s="7" t="inlineStr">
        <is>
          <t>Northern</t>
        </is>
      </c>
      <c r="C64" s="7" t="n">
        <v>2025</v>
      </c>
      <c r="D64" s="8" t="n">
        <v>741554</v>
      </c>
      <c r="E64" s="8" t="n">
        <v>868</v>
      </c>
      <c r="F64" s="9" t="n">
        <v>63.9</v>
      </c>
      <c r="G64" s="8" t="n">
        <v>181961</v>
      </c>
      <c r="H64" s="8" t="n">
        <v>61435</v>
      </c>
    </row>
    <row r="65">
      <c r="A65" s="7" t="inlineStr">
        <is>
          <t>Vavuniya</t>
        </is>
      </c>
      <c r="B65" s="7" t="inlineStr">
        <is>
          <t>Northern</t>
        </is>
      </c>
      <c r="C65" s="7" t="n">
        <v>2021</v>
      </c>
      <c r="D65" s="8" t="n">
        <v>2334911</v>
      </c>
      <c r="E65" s="8" t="n">
        <v>182</v>
      </c>
      <c r="F65" s="9" t="n">
        <v>51.2</v>
      </c>
      <c r="G65" s="8" t="n">
        <v>631140</v>
      </c>
      <c r="H65" s="8" t="n">
        <v>95089</v>
      </c>
    </row>
    <row r="66">
      <c r="A66" s="7" t="inlineStr">
        <is>
          <t>Vavuniya</t>
        </is>
      </c>
      <c r="B66" s="7" t="inlineStr">
        <is>
          <t>Northern</t>
        </is>
      </c>
      <c r="C66" s="7" t="n">
        <v>2022</v>
      </c>
      <c r="D66" s="8" t="n">
        <v>2373688</v>
      </c>
      <c r="E66" s="8" t="n">
        <v>186</v>
      </c>
      <c r="F66" s="9" t="n">
        <v>53.9</v>
      </c>
      <c r="G66" s="8" t="n">
        <v>588134</v>
      </c>
      <c r="H66" s="8" t="n">
        <v>104789</v>
      </c>
    </row>
    <row r="67">
      <c r="A67" s="7" t="inlineStr">
        <is>
          <t>Vavuniya</t>
        </is>
      </c>
      <c r="B67" s="7" t="inlineStr">
        <is>
          <t>Northern</t>
        </is>
      </c>
      <c r="C67" s="7" t="n">
        <v>2023</v>
      </c>
      <c r="D67" s="8" t="n">
        <v>2413109</v>
      </c>
      <c r="E67" s="8" t="n">
        <v>178</v>
      </c>
      <c r="F67" s="9" t="n">
        <v>54.6</v>
      </c>
      <c r="G67" s="8" t="n">
        <v>596283</v>
      </c>
      <c r="H67" s="8" t="n">
        <v>116652</v>
      </c>
    </row>
    <row r="68">
      <c r="A68" s="7" t="inlineStr">
        <is>
          <t>Vavuniya</t>
        </is>
      </c>
      <c r="B68" s="7" t="inlineStr">
        <is>
          <t>Northern</t>
        </is>
      </c>
      <c r="C68" s="7" t="n">
        <v>2024</v>
      </c>
      <c r="D68" s="8" t="n">
        <v>2453185</v>
      </c>
      <c r="E68" s="8" t="n">
        <v>182</v>
      </c>
      <c r="F68" s="9" t="n">
        <v>62.8</v>
      </c>
      <c r="G68" s="8" t="n">
        <v>635117</v>
      </c>
      <c r="H68" s="8" t="n">
        <v>105727</v>
      </c>
    </row>
    <row r="69">
      <c r="A69" s="7" t="inlineStr">
        <is>
          <t>Vavuniya</t>
        </is>
      </c>
      <c r="B69" s="7" t="inlineStr">
        <is>
          <t>Northern</t>
        </is>
      </c>
      <c r="C69" s="7" t="n">
        <v>2025</v>
      </c>
      <c r="D69" s="8" t="n">
        <v>2493927</v>
      </c>
      <c r="E69" s="8" t="n">
        <v>186</v>
      </c>
      <c r="F69" s="9" t="n">
        <v>67.3</v>
      </c>
      <c r="G69" s="8" t="n">
        <v>582691</v>
      </c>
      <c r="H69" s="8" t="n">
        <v>128643</v>
      </c>
    </row>
    <row r="70">
      <c r="A70" s="7" t="inlineStr">
        <is>
          <t>Mullaitivu</t>
        </is>
      </c>
      <c r="B70" s="7" t="inlineStr">
        <is>
          <t>Northern</t>
        </is>
      </c>
      <c r="C70" s="7" t="n">
        <v>2021</v>
      </c>
      <c r="D70" s="8" t="n">
        <v>1250653</v>
      </c>
      <c r="E70" s="8" t="n">
        <v>659</v>
      </c>
      <c r="F70" s="9" t="n">
        <v>21.3</v>
      </c>
      <c r="G70" s="8" t="n">
        <v>337739</v>
      </c>
      <c r="H70" s="8" t="n">
        <v>75318</v>
      </c>
    </row>
    <row r="71">
      <c r="A71" s="7" t="inlineStr">
        <is>
          <t>Mullaitivu</t>
        </is>
      </c>
      <c r="B71" s="7" t="inlineStr">
        <is>
          <t>Northern</t>
        </is>
      </c>
      <c r="C71" s="7" t="n">
        <v>2022</v>
      </c>
      <c r="D71" s="8" t="n">
        <v>1266019</v>
      </c>
      <c r="E71" s="8" t="n">
        <v>663</v>
      </c>
      <c r="F71" s="9" t="n">
        <v>22.8</v>
      </c>
      <c r="G71" s="8" t="n">
        <v>321751</v>
      </c>
      <c r="H71" s="8" t="n">
        <v>81665</v>
      </c>
    </row>
    <row r="72">
      <c r="A72" s="7" t="inlineStr">
        <is>
          <t>Mullaitivu</t>
        </is>
      </c>
      <c r="B72" s="7" t="inlineStr">
        <is>
          <t>Northern</t>
        </is>
      </c>
      <c r="C72" s="7" t="n">
        <v>2023</v>
      </c>
      <c r="D72" s="8" t="n">
        <v>1281575</v>
      </c>
      <c r="E72" s="8" t="n">
        <v>661</v>
      </c>
      <c r="F72" s="9" t="n">
        <v>26.9</v>
      </c>
      <c r="G72" s="8" t="n">
        <v>350000</v>
      </c>
      <c r="H72" s="8" t="n">
        <v>91368</v>
      </c>
    </row>
    <row r="73">
      <c r="A73" s="7" t="inlineStr">
        <is>
          <t>Mullaitivu</t>
        </is>
      </c>
      <c r="B73" s="7" t="inlineStr">
        <is>
          <t>Northern</t>
        </is>
      </c>
      <c r="C73" s="7" t="n">
        <v>2024</v>
      </c>
      <c r="D73" s="8" t="n">
        <v>1297321</v>
      </c>
      <c r="E73" s="8" t="n">
        <v>677</v>
      </c>
      <c r="F73" s="9" t="n">
        <v>26.5</v>
      </c>
      <c r="G73" s="8" t="n">
        <v>343644</v>
      </c>
      <c r="H73" s="8" t="n">
        <v>85279</v>
      </c>
    </row>
    <row r="74">
      <c r="A74" s="7" t="inlineStr">
        <is>
          <t>Mullaitivu</t>
        </is>
      </c>
      <c r="B74" s="7" t="inlineStr">
        <is>
          <t>Northern</t>
        </is>
      </c>
      <c r="C74" s="7" t="n">
        <v>2025</v>
      </c>
      <c r="D74" s="8" t="n">
        <v>1313261</v>
      </c>
      <c r="E74" s="8" t="n">
        <v>691</v>
      </c>
      <c r="F74" s="9" t="n">
        <v>34.3</v>
      </c>
      <c r="G74" s="8" t="n">
        <v>313933</v>
      </c>
      <c r="H74" s="8" t="n">
        <v>89858</v>
      </c>
    </row>
    <row r="75">
      <c r="A75" s="7" t="inlineStr">
        <is>
          <t>Batticaloa</t>
        </is>
      </c>
      <c r="B75" s="7" t="inlineStr">
        <is>
          <t>Eastern</t>
        </is>
      </c>
      <c r="C75" s="7" t="n">
        <v>2021</v>
      </c>
      <c r="D75" s="8" t="n">
        <v>247811</v>
      </c>
      <c r="E75" s="8" t="n">
        <v>223</v>
      </c>
      <c r="F75" s="9" t="n">
        <v>46.9</v>
      </c>
      <c r="G75" s="8" t="n">
        <v>63494</v>
      </c>
      <c r="H75" s="8" t="n">
        <v>74000</v>
      </c>
    </row>
    <row r="76">
      <c r="A76" s="7" t="inlineStr">
        <is>
          <t>Batticaloa</t>
        </is>
      </c>
      <c r="B76" s="7" t="inlineStr">
        <is>
          <t>Eastern</t>
        </is>
      </c>
      <c r="C76" s="7" t="n">
        <v>2022</v>
      </c>
      <c r="D76" s="8" t="n">
        <v>250744</v>
      </c>
      <c r="E76" s="8" t="n">
        <v>229</v>
      </c>
      <c r="F76" s="9" t="n">
        <v>48.7</v>
      </c>
      <c r="G76" s="8" t="n">
        <v>61850</v>
      </c>
      <c r="H76" s="8" t="n">
        <v>76945</v>
      </c>
    </row>
    <row r="77">
      <c r="A77" s="7" t="inlineStr">
        <is>
          <t>Batticaloa</t>
        </is>
      </c>
      <c r="B77" s="7" t="inlineStr">
        <is>
          <t>Eastern</t>
        </is>
      </c>
      <c r="C77" s="7" t="n">
        <v>2023</v>
      </c>
      <c r="D77" s="8" t="n">
        <v>253711</v>
      </c>
      <c r="E77" s="8" t="n">
        <v>225</v>
      </c>
      <c r="F77" s="9" t="n">
        <v>53</v>
      </c>
      <c r="G77" s="8" t="n">
        <v>66516</v>
      </c>
      <c r="H77" s="8" t="n">
        <v>82050</v>
      </c>
    </row>
    <row r="78">
      <c r="A78" s="7" t="inlineStr">
        <is>
          <t>Batticaloa</t>
        </is>
      </c>
      <c r="B78" s="7" t="inlineStr">
        <is>
          <t>Eastern</t>
        </is>
      </c>
      <c r="C78" s="7" t="n">
        <v>2024</v>
      </c>
      <c r="D78" s="8" t="n">
        <v>256714</v>
      </c>
      <c r="E78" s="8" t="n">
        <v>250</v>
      </c>
      <c r="F78" s="9" t="n">
        <v>52.6</v>
      </c>
      <c r="G78" s="8" t="n">
        <v>67067</v>
      </c>
      <c r="H78" s="8" t="n">
        <v>98200</v>
      </c>
    </row>
    <row r="79">
      <c r="A79" s="7" t="inlineStr">
        <is>
          <t>Batticaloa</t>
        </is>
      </c>
      <c r="B79" s="7" t="inlineStr">
        <is>
          <t>Eastern</t>
        </is>
      </c>
      <c r="C79" s="7" t="n">
        <v>2025</v>
      </c>
      <c r="D79" s="8" t="n">
        <v>259752</v>
      </c>
      <c r="E79" s="8" t="n">
        <v>227</v>
      </c>
      <c r="F79" s="9" t="n">
        <v>63.8</v>
      </c>
      <c r="G79" s="8" t="n">
        <v>60797</v>
      </c>
      <c r="H79" s="8" t="n">
        <v>100077</v>
      </c>
    </row>
    <row r="80">
      <c r="A80" s="7" t="inlineStr">
        <is>
          <t>Ampara</t>
        </is>
      </c>
      <c r="B80" s="7" t="inlineStr">
        <is>
          <t>Eastern</t>
        </is>
      </c>
      <c r="C80" s="7" t="n">
        <v>2021</v>
      </c>
      <c r="D80" s="8" t="n">
        <v>249363</v>
      </c>
      <c r="E80" s="8" t="n">
        <v>698</v>
      </c>
      <c r="F80" s="9" t="n">
        <v>53.6</v>
      </c>
      <c r="G80" s="8" t="n">
        <v>56926</v>
      </c>
      <c r="H80" s="8" t="n">
        <v>77974</v>
      </c>
    </row>
    <row r="81">
      <c r="A81" s="7" t="inlineStr">
        <is>
          <t>Ampara</t>
        </is>
      </c>
      <c r="B81" s="7" t="inlineStr">
        <is>
          <t>Eastern</t>
        </is>
      </c>
      <c r="C81" s="7" t="n">
        <v>2022</v>
      </c>
      <c r="D81" s="8" t="n">
        <v>251798</v>
      </c>
      <c r="E81" s="8" t="n">
        <v>705</v>
      </c>
      <c r="F81" s="9" t="n">
        <v>55.6</v>
      </c>
      <c r="G81" s="8" t="n">
        <v>62107</v>
      </c>
      <c r="H81" s="8" t="n">
        <v>85438</v>
      </c>
    </row>
    <row r="82">
      <c r="A82" s="7" t="inlineStr">
        <is>
          <t>Ampara</t>
        </is>
      </c>
      <c r="B82" s="7" t="inlineStr">
        <is>
          <t>Eastern</t>
        </is>
      </c>
      <c r="C82" s="7" t="n">
        <v>2023</v>
      </c>
      <c r="D82" s="8" t="n">
        <v>254257</v>
      </c>
      <c r="E82" s="8" t="n">
        <v>708</v>
      </c>
      <c r="F82" s="9" t="n">
        <v>61.3</v>
      </c>
      <c r="G82" s="8" t="n">
        <v>58036</v>
      </c>
      <c r="H82" s="8" t="n">
        <v>84092</v>
      </c>
    </row>
    <row r="83">
      <c r="A83" s="7" t="inlineStr">
        <is>
          <t>Ampara</t>
        </is>
      </c>
      <c r="B83" s="7" t="inlineStr">
        <is>
          <t>Eastern</t>
        </is>
      </c>
      <c r="C83" s="7" t="n">
        <v>2024</v>
      </c>
      <c r="D83" s="8" t="n">
        <v>256740</v>
      </c>
      <c r="E83" s="8" t="n">
        <v>722</v>
      </c>
      <c r="F83" s="9" t="n">
        <v>62.5</v>
      </c>
      <c r="G83" s="8" t="n">
        <v>66472</v>
      </c>
      <c r="H83" s="8" t="n">
        <v>97181</v>
      </c>
    </row>
    <row r="84">
      <c r="A84" s="7" t="inlineStr">
        <is>
          <t>Ampara</t>
        </is>
      </c>
      <c r="B84" s="7" t="inlineStr">
        <is>
          <t>Eastern</t>
        </is>
      </c>
      <c r="C84" s="7" t="n">
        <v>2025</v>
      </c>
      <c r="D84" s="8" t="n">
        <v>259247</v>
      </c>
      <c r="E84" s="8" t="n">
        <v>714</v>
      </c>
      <c r="F84" s="9" t="n">
        <v>66.8</v>
      </c>
      <c r="G84" s="8" t="n">
        <v>60235</v>
      </c>
      <c r="H84" s="8" t="n">
        <v>92254</v>
      </c>
    </row>
    <row r="85">
      <c r="A85" s="7" t="inlineStr">
        <is>
          <t>Trincomalee</t>
        </is>
      </c>
      <c r="B85" s="7" t="inlineStr">
        <is>
          <t>Eastern</t>
        </is>
      </c>
      <c r="C85" s="7" t="n">
        <v>2021</v>
      </c>
      <c r="D85" s="8" t="n">
        <v>667381</v>
      </c>
      <c r="E85" s="8" t="n">
        <v>766</v>
      </c>
      <c r="F85" s="9" t="n">
        <v>18.7</v>
      </c>
      <c r="G85" s="8" t="n">
        <v>152127</v>
      </c>
      <c r="H85" s="8" t="n">
        <v>63958</v>
      </c>
    </row>
    <row r="86">
      <c r="A86" s="7" t="inlineStr">
        <is>
          <t>Trincomalee</t>
        </is>
      </c>
      <c r="B86" s="7" t="inlineStr">
        <is>
          <t>Eastern</t>
        </is>
      </c>
      <c r="C86" s="7" t="n">
        <v>2022</v>
      </c>
      <c r="D86" s="8" t="n">
        <v>677099</v>
      </c>
      <c r="E86" s="8" t="n">
        <v>768</v>
      </c>
      <c r="F86" s="9" t="n">
        <v>22</v>
      </c>
      <c r="G86" s="8" t="n">
        <v>183176</v>
      </c>
      <c r="H86" s="8" t="n">
        <v>68044</v>
      </c>
    </row>
    <row r="87">
      <c r="A87" s="7" t="inlineStr">
        <is>
          <t>Trincomalee</t>
        </is>
      </c>
      <c r="B87" s="7" t="inlineStr">
        <is>
          <t>Eastern</t>
        </is>
      </c>
      <c r="C87" s="7" t="n">
        <v>2023</v>
      </c>
      <c r="D87" s="8" t="n">
        <v>686960</v>
      </c>
      <c r="E87" s="8" t="n">
        <v>778</v>
      </c>
      <c r="F87" s="9" t="n">
        <v>25</v>
      </c>
      <c r="G87" s="8" t="n">
        <v>181661</v>
      </c>
      <c r="H87" s="8" t="n">
        <v>77763</v>
      </c>
    </row>
    <row r="88">
      <c r="A88" s="7" t="inlineStr">
        <is>
          <t>Trincomalee</t>
        </is>
      </c>
      <c r="B88" s="7" t="inlineStr">
        <is>
          <t>Eastern</t>
        </is>
      </c>
      <c r="C88" s="7" t="n">
        <v>2024</v>
      </c>
      <c r="D88" s="8" t="n">
        <v>696964</v>
      </c>
      <c r="E88" s="8" t="n">
        <v>784</v>
      </c>
      <c r="F88" s="9" t="n">
        <v>28.9</v>
      </c>
      <c r="G88" s="8" t="n">
        <v>185944</v>
      </c>
      <c r="H88" s="8" t="n">
        <v>82239</v>
      </c>
    </row>
    <row r="89">
      <c r="A89" s="7" t="inlineStr">
        <is>
          <t>Trincomalee</t>
        </is>
      </c>
      <c r="B89" s="7" t="inlineStr">
        <is>
          <t>Eastern</t>
        </is>
      </c>
      <c r="C89" s="7" t="n">
        <v>2025</v>
      </c>
      <c r="D89" s="8" t="n">
        <v>707114</v>
      </c>
      <c r="E89" s="8" t="n">
        <v>786</v>
      </c>
      <c r="F89" s="9" t="n">
        <v>34.4</v>
      </c>
      <c r="G89" s="8" t="n">
        <v>181203</v>
      </c>
      <c r="H89" s="8" t="n">
        <v>89516</v>
      </c>
    </row>
    <row r="90">
      <c r="A90" s="7" t="inlineStr">
        <is>
          <t>Kurunegala</t>
        </is>
      </c>
      <c r="B90" s="7" t="inlineStr">
        <is>
          <t>North Western</t>
        </is>
      </c>
      <c r="C90" s="7" t="n">
        <v>2021</v>
      </c>
      <c r="D90" s="8" t="n">
        <v>1760593</v>
      </c>
      <c r="E90" s="8" t="n">
        <v>360</v>
      </c>
      <c r="F90" s="9" t="n">
        <v>48.1</v>
      </c>
      <c r="G90" s="8" t="n">
        <v>488042</v>
      </c>
      <c r="H90" s="8" t="n">
        <v>39464</v>
      </c>
    </row>
    <row r="91">
      <c r="A91" s="7" t="inlineStr">
        <is>
          <t>Kurunegala</t>
        </is>
      </c>
      <c r="B91" s="7" t="inlineStr">
        <is>
          <t>North Western</t>
        </is>
      </c>
      <c r="C91" s="7" t="n">
        <v>2022</v>
      </c>
      <c r="D91" s="8" t="n">
        <v>1778568</v>
      </c>
      <c r="E91" s="8" t="n">
        <v>365</v>
      </c>
      <c r="F91" s="9" t="n">
        <v>50</v>
      </c>
      <c r="G91" s="8" t="n">
        <v>490022</v>
      </c>
      <c r="H91" s="8" t="n">
        <v>42895</v>
      </c>
    </row>
    <row r="92">
      <c r="A92" s="7" t="inlineStr">
        <is>
          <t>Kurunegala</t>
        </is>
      </c>
      <c r="B92" s="7" t="inlineStr">
        <is>
          <t>North Western</t>
        </is>
      </c>
      <c r="C92" s="7" t="n">
        <v>2023</v>
      </c>
      <c r="D92" s="8" t="n">
        <v>1796727</v>
      </c>
      <c r="E92" s="8" t="n">
        <v>360</v>
      </c>
      <c r="F92" s="9" t="n">
        <v>52.3</v>
      </c>
      <c r="G92" s="8" t="n">
        <v>421860</v>
      </c>
      <c r="H92" s="8" t="n">
        <v>45580</v>
      </c>
    </row>
    <row r="93">
      <c r="A93" s="7" t="inlineStr">
        <is>
          <t>Kurunegala</t>
        </is>
      </c>
      <c r="B93" s="7" t="inlineStr">
        <is>
          <t>North Western</t>
        </is>
      </c>
      <c r="C93" s="7" t="n">
        <v>2024</v>
      </c>
      <c r="D93" s="8" t="n">
        <v>1815071</v>
      </c>
      <c r="E93" s="8" t="n">
        <v>357</v>
      </c>
      <c r="F93" s="9" t="n">
        <v>59.1</v>
      </c>
      <c r="G93" s="8" t="n">
        <v>484276</v>
      </c>
      <c r="H93" s="8" t="n">
        <v>51032</v>
      </c>
    </row>
    <row r="94">
      <c r="A94" s="7" t="inlineStr">
        <is>
          <t>Kurunegala</t>
        </is>
      </c>
      <c r="B94" s="7" t="inlineStr">
        <is>
          <t>North Western</t>
        </is>
      </c>
      <c r="C94" s="7" t="n">
        <v>2025</v>
      </c>
      <c r="D94" s="8" t="n">
        <v>1833602</v>
      </c>
      <c r="E94" s="8" t="n">
        <v>388</v>
      </c>
      <c r="F94" s="9" t="n">
        <v>63.6</v>
      </c>
      <c r="G94" s="8" t="n">
        <v>429157</v>
      </c>
      <c r="H94" s="8" t="n">
        <v>54286</v>
      </c>
    </row>
    <row r="95">
      <c r="A95" s="7" t="inlineStr">
        <is>
          <t>Puttalam</t>
        </is>
      </c>
      <c r="B95" s="7" t="inlineStr">
        <is>
          <t>North Western</t>
        </is>
      </c>
      <c r="C95" s="7" t="n">
        <v>2021</v>
      </c>
      <c r="D95" s="8" t="n">
        <v>1483829</v>
      </c>
      <c r="E95" s="8" t="n">
        <v>396</v>
      </c>
      <c r="F95" s="9" t="n">
        <v>18.2</v>
      </c>
      <c r="G95" s="8" t="n">
        <v>367654</v>
      </c>
      <c r="H95" s="8" t="n">
        <v>70976</v>
      </c>
    </row>
    <row r="96">
      <c r="A96" s="7" t="inlineStr">
        <is>
          <t>Puttalam</t>
        </is>
      </c>
      <c r="B96" s="7" t="inlineStr">
        <is>
          <t>North Western</t>
        </is>
      </c>
      <c r="C96" s="7" t="n">
        <v>2022</v>
      </c>
      <c r="D96" s="8" t="n">
        <v>1495580</v>
      </c>
      <c r="E96" s="8" t="n">
        <v>405</v>
      </c>
      <c r="F96" s="9" t="n">
        <v>20.3</v>
      </c>
      <c r="G96" s="8" t="n">
        <v>382179</v>
      </c>
      <c r="H96" s="8" t="n">
        <v>73584</v>
      </c>
    </row>
    <row r="97">
      <c r="A97" s="7" t="inlineStr">
        <is>
          <t>Puttalam</t>
        </is>
      </c>
      <c r="B97" s="7" t="inlineStr">
        <is>
          <t>North Western</t>
        </is>
      </c>
      <c r="C97" s="7" t="n">
        <v>2023</v>
      </c>
      <c r="D97" s="8" t="n">
        <v>1507425</v>
      </c>
      <c r="E97" s="8" t="n">
        <v>392</v>
      </c>
      <c r="F97" s="9" t="n">
        <v>25.5</v>
      </c>
      <c r="G97" s="8" t="n">
        <v>352303</v>
      </c>
      <c r="H97" s="8" t="n">
        <v>84724</v>
      </c>
    </row>
    <row r="98">
      <c r="A98" s="7" t="inlineStr">
        <is>
          <t>Puttalam</t>
        </is>
      </c>
      <c r="B98" s="7" t="inlineStr">
        <is>
          <t>North Western</t>
        </is>
      </c>
      <c r="C98" s="7" t="n">
        <v>2024</v>
      </c>
      <c r="D98" s="8" t="n">
        <v>1519364</v>
      </c>
      <c r="E98" s="8" t="n">
        <v>408</v>
      </c>
      <c r="F98" s="9" t="n">
        <v>27</v>
      </c>
      <c r="G98" s="8" t="n">
        <v>408791</v>
      </c>
      <c r="H98" s="8" t="n">
        <v>84217</v>
      </c>
    </row>
    <row r="99">
      <c r="A99" s="7" t="inlineStr">
        <is>
          <t>Puttalam</t>
        </is>
      </c>
      <c r="B99" s="7" t="inlineStr">
        <is>
          <t>North Western</t>
        </is>
      </c>
      <c r="C99" s="7" t="n">
        <v>2025</v>
      </c>
      <c r="D99" s="8" t="n">
        <v>1531397</v>
      </c>
      <c r="E99" s="8" t="n">
        <v>408</v>
      </c>
      <c r="F99" s="9" t="n">
        <v>27.5</v>
      </c>
      <c r="G99" s="8" t="n">
        <v>380608</v>
      </c>
      <c r="H99" s="8" t="n">
        <v>83258</v>
      </c>
    </row>
    <row r="100">
      <c r="A100" s="7" t="inlineStr">
        <is>
          <t>Anuradhapura</t>
        </is>
      </c>
      <c r="B100" s="7" t="inlineStr">
        <is>
          <t>North Central</t>
        </is>
      </c>
      <c r="C100" s="7" t="n">
        <v>2021</v>
      </c>
      <c r="D100" s="8" t="n">
        <v>977827</v>
      </c>
      <c r="E100" s="8" t="n">
        <v>863</v>
      </c>
      <c r="F100" s="9" t="n">
        <v>41</v>
      </c>
      <c r="G100" s="8" t="n">
        <v>267804</v>
      </c>
      <c r="H100" s="8" t="n">
        <v>53713</v>
      </c>
    </row>
    <row r="101">
      <c r="A101" s="7" t="inlineStr">
        <is>
          <t>Anuradhapura</t>
        </is>
      </c>
      <c r="B101" s="7" t="inlineStr">
        <is>
          <t>North Central</t>
        </is>
      </c>
      <c r="C101" s="7" t="n">
        <v>2022</v>
      </c>
      <c r="D101" s="8" t="n">
        <v>989829</v>
      </c>
      <c r="E101" s="8" t="n">
        <v>872</v>
      </c>
      <c r="F101" s="9" t="n">
        <v>43.7</v>
      </c>
      <c r="G101" s="8" t="n">
        <v>226817</v>
      </c>
      <c r="H101" s="8" t="n">
        <v>57652</v>
      </c>
    </row>
    <row r="102">
      <c r="A102" s="7" t="inlineStr">
        <is>
          <t>Anuradhapura</t>
        </is>
      </c>
      <c r="B102" s="7" t="inlineStr">
        <is>
          <t>North Central</t>
        </is>
      </c>
      <c r="C102" s="7" t="n">
        <v>2023</v>
      </c>
      <c r="D102" s="8" t="n">
        <v>1001980</v>
      </c>
      <c r="E102" s="8" t="n">
        <v>871</v>
      </c>
      <c r="F102" s="9" t="n">
        <v>49.1</v>
      </c>
      <c r="G102" s="8" t="n">
        <v>232898</v>
      </c>
      <c r="H102" s="8" t="n">
        <v>58270</v>
      </c>
    </row>
    <row r="103">
      <c r="A103" s="7" t="inlineStr">
        <is>
          <t>Anuradhapura</t>
        </is>
      </c>
      <c r="B103" s="7" t="inlineStr">
        <is>
          <t>North Central</t>
        </is>
      </c>
      <c r="C103" s="7" t="n">
        <v>2024</v>
      </c>
      <c r="D103" s="8" t="n">
        <v>1014279</v>
      </c>
      <c r="E103" s="8" t="n">
        <v>860</v>
      </c>
      <c r="F103" s="9" t="n">
        <v>47.1</v>
      </c>
      <c r="G103" s="8" t="n">
        <v>249811</v>
      </c>
      <c r="H103" s="8" t="n">
        <v>64411</v>
      </c>
    </row>
    <row r="104">
      <c r="A104" s="7" t="inlineStr">
        <is>
          <t>Anuradhapura</t>
        </is>
      </c>
      <c r="B104" s="7" t="inlineStr">
        <is>
          <t>North Central</t>
        </is>
      </c>
      <c r="C104" s="7" t="n">
        <v>2025</v>
      </c>
      <c r="D104" s="8" t="n">
        <v>1026729</v>
      </c>
      <c r="E104" s="8" t="n">
        <v>859</v>
      </c>
      <c r="F104" s="9" t="n">
        <v>55.3</v>
      </c>
      <c r="G104" s="8" t="n">
        <v>273161</v>
      </c>
      <c r="H104" s="8" t="n">
        <v>64414</v>
      </c>
    </row>
    <row r="105">
      <c r="A105" s="7" t="inlineStr">
        <is>
          <t>Polonnaruwa</t>
        </is>
      </c>
      <c r="B105" s="7" t="inlineStr">
        <is>
          <t>North Central</t>
        </is>
      </c>
      <c r="C105" s="7" t="n">
        <v>2021</v>
      </c>
      <c r="D105" s="8" t="n">
        <v>951126</v>
      </c>
      <c r="E105" s="8" t="n">
        <v>746</v>
      </c>
      <c r="F105" s="9" t="n">
        <v>20.1</v>
      </c>
      <c r="G105" s="8" t="n">
        <v>220560</v>
      </c>
      <c r="H105" s="8" t="n">
        <v>89553</v>
      </c>
    </row>
    <row r="106">
      <c r="A106" s="7" t="inlineStr">
        <is>
          <t>Polonnaruwa</t>
        </is>
      </c>
      <c r="B106" s="7" t="inlineStr">
        <is>
          <t>North Central</t>
        </is>
      </c>
      <c r="C106" s="7" t="n">
        <v>2022</v>
      </c>
      <c r="D106" s="8" t="n">
        <v>955069</v>
      </c>
      <c r="E106" s="8" t="n">
        <v>748</v>
      </c>
      <c r="F106" s="9" t="n">
        <v>23.9</v>
      </c>
      <c r="G106" s="8" t="n">
        <v>256191</v>
      </c>
      <c r="H106" s="8" t="n">
        <v>97375</v>
      </c>
    </row>
    <row r="107">
      <c r="A107" s="7" t="inlineStr">
        <is>
          <t>Polonnaruwa</t>
        </is>
      </c>
      <c r="B107" s="7" t="inlineStr">
        <is>
          <t>North Central</t>
        </is>
      </c>
      <c r="C107" s="7" t="n">
        <v>2023</v>
      </c>
      <c r="D107" s="8" t="n">
        <v>959030</v>
      </c>
      <c r="E107" s="8" t="n">
        <v>738</v>
      </c>
      <c r="F107" s="9" t="n">
        <v>25.9</v>
      </c>
      <c r="G107" s="8" t="n">
        <v>220392</v>
      </c>
      <c r="H107" s="8" t="n">
        <v>106401</v>
      </c>
    </row>
    <row r="108">
      <c r="A108" s="7" t="inlineStr">
        <is>
          <t>Polonnaruwa</t>
        </is>
      </c>
      <c r="B108" s="7" t="inlineStr">
        <is>
          <t>North Central</t>
        </is>
      </c>
      <c r="C108" s="7" t="n">
        <v>2024</v>
      </c>
      <c r="D108" s="8" t="n">
        <v>963007</v>
      </c>
      <c r="E108" s="8" t="n">
        <v>758</v>
      </c>
      <c r="F108" s="9" t="n">
        <v>27</v>
      </c>
      <c r="G108" s="8" t="n">
        <v>224076</v>
      </c>
      <c r="H108" s="8" t="n">
        <v>117802</v>
      </c>
    </row>
    <row r="109">
      <c r="A109" s="7" t="inlineStr">
        <is>
          <t>Polonnaruwa</t>
        </is>
      </c>
      <c r="B109" s="7" t="inlineStr">
        <is>
          <t>North Central</t>
        </is>
      </c>
      <c r="C109" s="7" t="n">
        <v>2025</v>
      </c>
      <c r="D109" s="8" t="n">
        <v>967000</v>
      </c>
      <c r="E109" s="8" t="n">
        <v>770</v>
      </c>
      <c r="F109" s="9" t="n">
        <v>37.7</v>
      </c>
      <c r="G109" s="8" t="n">
        <v>259794</v>
      </c>
      <c r="H109" s="8" t="n">
        <v>130967</v>
      </c>
    </row>
    <row r="110">
      <c r="A110" s="7" t="inlineStr">
        <is>
          <t>Badulla</t>
        </is>
      </c>
      <c r="B110" s="7" t="inlineStr">
        <is>
          <t>Uva</t>
        </is>
      </c>
      <c r="C110" s="7" t="n">
        <v>2021</v>
      </c>
      <c r="D110" s="8" t="n">
        <v>1780363</v>
      </c>
      <c r="E110" s="8" t="n">
        <v>671</v>
      </c>
      <c r="F110" s="9" t="n">
        <v>58.6</v>
      </c>
      <c r="G110" s="8" t="n">
        <v>454481</v>
      </c>
      <c r="H110" s="8" t="n">
        <v>71236</v>
      </c>
    </row>
    <row r="111">
      <c r="A111" s="7" t="inlineStr">
        <is>
          <t>Badulla</t>
        </is>
      </c>
      <c r="B111" s="7" t="inlineStr">
        <is>
          <t>Uva</t>
        </is>
      </c>
      <c r="C111" s="7" t="n">
        <v>2022</v>
      </c>
      <c r="D111" s="8" t="n">
        <v>1812353</v>
      </c>
      <c r="E111" s="8" t="n">
        <v>668</v>
      </c>
      <c r="F111" s="9" t="n">
        <v>63</v>
      </c>
      <c r="G111" s="8" t="n">
        <v>438390</v>
      </c>
      <c r="H111" s="8" t="n">
        <v>77671</v>
      </c>
    </row>
    <row r="112">
      <c r="A112" s="7" t="inlineStr">
        <is>
          <t>Badulla</t>
        </is>
      </c>
      <c r="B112" s="7" t="inlineStr">
        <is>
          <t>Uva</t>
        </is>
      </c>
      <c r="C112" s="7" t="n">
        <v>2023</v>
      </c>
      <c r="D112" s="8" t="n">
        <v>1844919</v>
      </c>
      <c r="E112" s="8" t="n">
        <v>667</v>
      </c>
      <c r="F112" s="9" t="n">
        <v>66.40000000000001</v>
      </c>
      <c r="G112" s="8" t="n">
        <v>466686</v>
      </c>
      <c r="H112" s="8" t="n">
        <v>84572</v>
      </c>
    </row>
    <row r="113">
      <c r="A113" s="7" t="inlineStr">
        <is>
          <t>Badulla</t>
        </is>
      </c>
      <c r="B113" s="7" t="inlineStr">
        <is>
          <t>Uva</t>
        </is>
      </c>
      <c r="C113" s="7" t="n">
        <v>2024</v>
      </c>
      <c r="D113" s="8" t="n">
        <v>1878069</v>
      </c>
      <c r="E113" s="8" t="n">
        <v>668</v>
      </c>
      <c r="F113" s="9" t="n">
        <v>70.7</v>
      </c>
      <c r="G113" s="8" t="n">
        <v>434204</v>
      </c>
      <c r="H113" s="8" t="n">
        <v>95573</v>
      </c>
    </row>
    <row r="114">
      <c r="A114" s="7" t="inlineStr">
        <is>
          <t>Badulla</t>
        </is>
      </c>
      <c r="B114" s="7" t="inlineStr">
        <is>
          <t>Uva</t>
        </is>
      </c>
      <c r="C114" s="7" t="n">
        <v>2025</v>
      </c>
      <c r="D114" s="8" t="n">
        <v>1911815</v>
      </c>
      <c r="E114" s="8" t="n">
        <v>659</v>
      </c>
      <c r="F114" s="9" t="n">
        <v>73</v>
      </c>
      <c r="G114" s="8" t="n">
        <v>493977</v>
      </c>
      <c r="H114" s="8" t="n">
        <v>99189</v>
      </c>
    </row>
    <row r="115">
      <c r="A115" s="7" t="inlineStr">
        <is>
          <t>Monaragala</t>
        </is>
      </c>
      <c r="B115" s="7" t="inlineStr">
        <is>
          <t>Uva</t>
        </is>
      </c>
      <c r="C115" s="7" t="n">
        <v>2021</v>
      </c>
      <c r="D115" s="8" t="n">
        <v>798562</v>
      </c>
      <c r="E115" s="8" t="n">
        <v>581</v>
      </c>
      <c r="F115" s="9" t="n">
        <v>43.6</v>
      </c>
      <c r="G115" s="8" t="n">
        <v>205666</v>
      </c>
      <c r="H115" s="8" t="n">
        <v>57252</v>
      </c>
    </row>
    <row r="116">
      <c r="A116" s="7" t="inlineStr">
        <is>
          <t>Monaragala</t>
        </is>
      </c>
      <c r="B116" s="7" t="inlineStr">
        <is>
          <t>Uva</t>
        </is>
      </c>
      <c r="C116" s="7" t="n">
        <v>2022</v>
      </c>
      <c r="D116" s="8" t="n">
        <v>809723</v>
      </c>
      <c r="E116" s="8" t="n">
        <v>579</v>
      </c>
      <c r="F116" s="9" t="n">
        <v>47.9</v>
      </c>
      <c r="G116" s="8" t="n">
        <v>185928</v>
      </c>
      <c r="H116" s="8" t="n">
        <v>60987</v>
      </c>
    </row>
    <row r="117">
      <c r="A117" s="7" t="inlineStr">
        <is>
          <t>Monaragala</t>
        </is>
      </c>
      <c r="B117" s="7" t="inlineStr">
        <is>
          <t>Uva</t>
        </is>
      </c>
      <c r="C117" s="7" t="n">
        <v>2023</v>
      </c>
      <c r="D117" s="8" t="n">
        <v>821040</v>
      </c>
      <c r="E117" s="8" t="n">
        <v>581</v>
      </c>
      <c r="F117" s="9" t="n">
        <v>51.4</v>
      </c>
      <c r="G117" s="8" t="n">
        <v>187320</v>
      </c>
      <c r="H117" s="8" t="n">
        <v>63581</v>
      </c>
    </row>
    <row r="118">
      <c r="A118" s="7" t="inlineStr">
        <is>
          <t>Monaragala</t>
        </is>
      </c>
      <c r="B118" s="7" t="inlineStr">
        <is>
          <t>Uva</t>
        </is>
      </c>
      <c r="C118" s="7" t="n">
        <v>2024</v>
      </c>
      <c r="D118" s="8" t="n">
        <v>832515</v>
      </c>
      <c r="E118" s="8" t="n">
        <v>608</v>
      </c>
      <c r="F118" s="9" t="n">
        <v>50.5</v>
      </c>
      <c r="G118" s="8" t="n">
        <v>229159</v>
      </c>
      <c r="H118" s="8" t="n">
        <v>75530</v>
      </c>
    </row>
    <row r="119">
      <c r="A119" s="7" t="inlineStr">
        <is>
          <t>Monaragala</t>
        </is>
      </c>
      <c r="B119" s="7" t="inlineStr">
        <is>
          <t>Uva</t>
        </is>
      </c>
      <c r="C119" s="7" t="n">
        <v>2025</v>
      </c>
      <c r="D119" s="8" t="n">
        <v>844151</v>
      </c>
      <c r="E119" s="8" t="n">
        <v>569</v>
      </c>
      <c r="F119" s="9" t="n">
        <v>54.4</v>
      </c>
      <c r="G119" s="8" t="n">
        <v>210203</v>
      </c>
      <c r="H119" s="8" t="n">
        <v>85422</v>
      </c>
    </row>
    <row r="120">
      <c r="A120" s="7" t="inlineStr">
        <is>
          <t>Ratnapura</t>
        </is>
      </c>
      <c r="B120" s="7" t="inlineStr">
        <is>
          <t>Sabaragamuwa</t>
        </is>
      </c>
      <c r="C120" s="7" t="n">
        <v>2021</v>
      </c>
      <c r="D120" s="8" t="n">
        <v>2298088</v>
      </c>
      <c r="E120" s="8" t="n">
        <v>685</v>
      </c>
      <c r="F120" s="9" t="n">
        <v>57.8</v>
      </c>
      <c r="G120" s="8" t="n">
        <v>632483</v>
      </c>
      <c r="H120" s="8" t="n">
        <v>79048</v>
      </c>
    </row>
    <row r="121">
      <c r="A121" s="7" t="inlineStr">
        <is>
          <t>Ratnapura</t>
        </is>
      </c>
      <c r="B121" s="7" t="inlineStr">
        <is>
          <t>Sabaragamuwa</t>
        </is>
      </c>
      <c r="C121" s="7" t="n">
        <v>2022</v>
      </c>
      <c r="D121" s="8" t="n">
        <v>2339403</v>
      </c>
      <c r="E121" s="8" t="n">
        <v>691</v>
      </c>
      <c r="F121" s="9" t="n">
        <v>61.4</v>
      </c>
      <c r="G121" s="8" t="n">
        <v>635072</v>
      </c>
      <c r="H121" s="8" t="n">
        <v>81734</v>
      </c>
    </row>
    <row r="122">
      <c r="A122" s="7" t="inlineStr">
        <is>
          <t>Ratnapura</t>
        </is>
      </c>
      <c r="B122" s="7" t="inlineStr">
        <is>
          <t>Sabaragamuwa</t>
        </is>
      </c>
      <c r="C122" s="7" t="n">
        <v>2023</v>
      </c>
      <c r="D122" s="8" t="n">
        <v>2381461</v>
      </c>
      <c r="E122" s="8" t="n">
        <v>683</v>
      </c>
      <c r="F122" s="9" t="n">
        <v>62.7</v>
      </c>
      <c r="G122" s="8" t="n">
        <v>550073</v>
      </c>
      <c r="H122" s="8" t="n">
        <v>86951</v>
      </c>
    </row>
    <row r="123">
      <c r="A123" s="7" t="inlineStr">
        <is>
          <t>Ratnapura</t>
        </is>
      </c>
      <c r="B123" s="7" t="inlineStr">
        <is>
          <t>Sabaragamuwa</t>
        </is>
      </c>
      <c r="C123" s="7" t="n">
        <v>2024</v>
      </c>
      <c r="D123" s="8" t="n">
        <v>2424275</v>
      </c>
      <c r="E123" s="8" t="n">
        <v>697</v>
      </c>
      <c r="F123" s="9" t="n">
        <v>64.3</v>
      </c>
      <c r="G123" s="8" t="n">
        <v>631961</v>
      </c>
      <c r="H123" s="8" t="n">
        <v>87031</v>
      </c>
    </row>
    <row r="124">
      <c r="A124" s="7" t="inlineStr">
        <is>
          <t>Ratnapura</t>
        </is>
      </c>
      <c r="B124" s="7" t="inlineStr">
        <is>
          <t>Sabaragamuwa</t>
        </is>
      </c>
      <c r="C124" s="7" t="n">
        <v>2025</v>
      </c>
      <c r="D124" s="8" t="n">
        <v>2467859</v>
      </c>
      <c r="E124" s="8" t="n">
        <v>721</v>
      </c>
      <c r="F124" s="9" t="n">
        <v>74.7</v>
      </c>
      <c r="G124" s="8" t="n">
        <v>560935</v>
      </c>
      <c r="H124" s="8" t="n">
        <v>91161</v>
      </c>
    </row>
    <row r="125">
      <c r="A125" s="7" t="inlineStr">
        <is>
          <t>Kegalle</t>
        </is>
      </c>
      <c r="B125" s="7" t="inlineStr">
        <is>
          <t>Sabaragamuwa</t>
        </is>
      </c>
      <c r="C125" s="7" t="n">
        <v>2021</v>
      </c>
      <c r="D125" s="8" t="n">
        <v>1997077</v>
      </c>
      <c r="E125" s="8" t="n">
        <v>343</v>
      </c>
      <c r="F125" s="9" t="n">
        <v>41.7</v>
      </c>
      <c r="G125" s="8" t="n">
        <v>528799</v>
      </c>
      <c r="H125" s="8" t="n">
        <v>51729</v>
      </c>
    </row>
    <row r="126">
      <c r="A126" s="7" t="inlineStr">
        <is>
          <t>Kegalle</t>
        </is>
      </c>
      <c r="B126" s="7" t="inlineStr">
        <is>
          <t>Sabaragamuwa</t>
        </is>
      </c>
      <c r="C126" s="7" t="n">
        <v>2022</v>
      </c>
      <c r="D126" s="8" t="n">
        <v>2008476</v>
      </c>
      <c r="E126" s="8" t="n">
        <v>349</v>
      </c>
      <c r="F126" s="9" t="n">
        <v>44.1</v>
      </c>
      <c r="G126" s="8" t="n">
        <v>495716</v>
      </c>
      <c r="H126" s="8" t="n">
        <v>54264</v>
      </c>
    </row>
    <row r="127">
      <c r="A127" s="7" t="inlineStr">
        <is>
          <t>Kegalle</t>
        </is>
      </c>
      <c r="B127" s="7" t="inlineStr">
        <is>
          <t>Sabaragamuwa</t>
        </is>
      </c>
      <c r="C127" s="7" t="n">
        <v>2023</v>
      </c>
      <c r="D127" s="8" t="n">
        <v>2019940</v>
      </c>
      <c r="E127" s="8" t="n">
        <v>351</v>
      </c>
      <c r="F127" s="9" t="n">
        <v>49.9</v>
      </c>
      <c r="G127" s="8" t="n">
        <v>554494</v>
      </c>
      <c r="H127" s="8" t="n">
        <v>58649</v>
      </c>
    </row>
    <row r="128">
      <c r="A128" s="7" t="inlineStr">
        <is>
          <t>Kegalle</t>
        </is>
      </c>
      <c r="B128" s="7" t="inlineStr">
        <is>
          <t>Sabaragamuwa</t>
        </is>
      </c>
      <c r="C128" s="7" t="n">
        <v>2024</v>
      </c>
      <c r="D128" s="8" t="n">
        <v>2031470</v>
      </c>
      <c r="E128" s="8" t="n">
        <v>343</v>
      </c>
      <c r="F128" s="9" t="n">
        <v>52</v>
      </c>
      <c r="G128" s="8" t="n">
        <v>487983</v>
      </c>
      <c r="H128" s="8" t="n">
        <v>58168</v>
      </c>
    </row>
    <row r="129">
      <c r="A129" s="7" t="inlineStr">
        <is>
          <t>Kegalle</t>
        </is>
      </c>
      <c r="B129" s="7" t="inlineStr">
        <is>
          <t>Sabaragamuwa</t>
        </is>
      </c>
      <c r="C129" s="7" t="n">
        <v>2025</v>
      </c>
      <c r="D129" s="8" t="n">
        <v>2043065</v>
      </c>
      <c r="E129" s="8" t="n">
        <v>371</v>
      </c>
      <c r="F129" s="9" t="n">
        <v>51.1</v>
      </c>
      <c r="G129" s="8" t="n">
        <v>524511</v>
      </c>
      <c r="H129" s="8" t="n">
        <v>62257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8" customWidth="1" min="3" max="3"/>
    <col width="48" customWidth="1" min="4" max="4"/>
  </cols>
  <sheetData>
    <row r="1">
      <c r="A1" s="1" t="inlineStr">
        <is>
          <t>The formulas you actually need</t>
        </is>
      </c>
    </row>
    <row r="2">
      <c r="A2" s="10" t="inlineStr">
        <is>
          <t>Column B shows the formula as text. Column C is the same formula, live. Click C and read the formula bar.</t>
        </is>
      </c>
    </row>
    <row r="4">
      <c r="A4" s="6" t="inlineStr">
        <is>
          <t>What it does</t>
        </is>
      </c>
      <c r="B4" s="6" t="inlineStr">
        <is>
          <t>The formula</t>
        </is>
      </c>
      <c r="C4" s="6" t="inlineStr">
        <is>
          <t>Live result</t>
        </is>
      </c>
      <c r="D4" s="6" t="inlineStr">
        <is>
          <t>When you use it</t>
        </is>
      </c>
      <c r="F4" s="3" t="inlineStr">
        <is>
          <t>Lookup district</t>
        </is>
      </c>
    </row>
    <row r="5">
      <c r="A5" s="7" t="inlineStr">
        <is>
          <t>Add a column up</t>
        </is>
      </c>
      <c r="B5" s="11" t="inlineStr">
        <is>
          <t>=SUM('Synthetic data'!D5:D129)</t>
        </is>
      </c>
      <c r="C5" s="7">
        <f>SUM('Synthetic data'!D5:D129)</f>
        <v/>
      </c>
      <c r="D5" s="12" t="inlineStr">
        <is>
          <t>Total population across every district and year. Rarely meaningful — but this is the formula.</t>
        </is>
      </c>
      <c r="F5" s="13" t="inlineStr">
        <is>
          <t>Kegalle</t>
        </is>
      </c>
    </row>
    <row r="6">
      <c r="A6" s="7" t="inlineStr">
        <is>
          <t>Average</t>
        </is>
      </c>
      <c r="B6" s="11" t="inlineStr">
        <is>
          <t>=AVERAGE('Synthetic data'!F5:F129)</t>
        </is>
      </c>
      <c r="C6" s="7">
        <f>AVERAGE('Synthetic data'!F5:F129)</f>
        <v/>
      </c>
      <c r="D6" s="12" t="inlineStr">
        <is>
          <t>Mean internet-user percentage across all rows.</t>
        </is>
      </c>
      <c r="F6" s="10" t="inlineStr">
        <is>
          <t>Change F5 and the lookup rows below follow it.</t>
        </is>
      </c>
    </row>
    <row r="7">
      <c r="A7" s="7" t="inlineStr">
        <is>
          <t>Count rows</t>
        </is>
      </c>
      <c r="B7" s="11" t="inlineStr">
        <is>
          <t>=COUNTA('Synthetic data'!A5:A129)</t>
        </is>
      </c>
      <c r="C7" s="7">
        <f>COUNTA('Synthetic data'!A5:A129)</f>
        <v/>
      </c>
      <c r="D7" s="12" t="inlineStr">
        <is>
          <t>How many observations you actually have. Run this before you trust any average.</t>
        </is>
      </c>
    </row>
    <row r="8">
      <c r="A8" s="7" t="inlineStr">
        <is>
          <t>Count matching one thing</t>
        </is>
      </c>
      <c r="B8" s="11" t="inlineStr">
        <is>
          <t>=COUNTIF('Synthetic data'!B5:B129,"Western")</t>
        </is>
      </c>
      <c r="C8" s="7">
        <f>COUNTIF('Synthetic data'!B5:B129,"Western")</f>
        <v/>
      </c>
      <c r="D8" s="12" t="inlineStr">
        <is>
          <t>How many rows are Western Province.</t>
        </is>
      </c>
    </row>
    <row r="9">
      <c r="A9" s="7" t="inlineStr">
        <is>
          <t>Add up matching one thing</t>
        </is>
      </c>
      <c r="B9" s="11" t="inlineStr">
        <is>
          <t>=SUMIF('Synthetic data'!C5:C129,2025,'Synthetic data'!D5:D129)</t>
        </is>
      </c>
      <c r="C9" s="7">
        <f>SUMIF('Synthetic data'!C5:C129,2025,'Synthetic data'!D5:D129)</f>
        <v/>
      </c>
      <c r="D9" s="12" t="inlineStr">
        <is>
          <t>Total population in 2025 only. SUMIF is the one that turns a long sheet into an answer.</t>
        </is>
      </c>
    </row>
    <row r="10">
      <c r="A10" s="7" t="inlineStr">
        <is>
          <t>Average matching one thing</t>
        </is>
      </c>
      <c r="B10" s="11" t="inlineStr">
        <is>
          <t>=AVERAGEIF('Synthetic data'!B5:B129,"Southern",'Synthetic data'!H5:H129)</t>
        </is>
      </c>
      <c r="C10" s="7">
        <f>AVERAGEIF('Synthetic data'!B5:B129,"Southern",'Synthetic data'!H5:H129)</f>
        <v/>
      </c>
      <c r="D10" s="12" t="inlineStr">
        <is>
          <t>Mean income in Southern Province.</t>
        </is>
      </c>
    </row>
    <row r="11">
      <c r="A11" s="7" t="inlineStr">
        <is>
          <t>Add up matching two things</t>
        </is>
      </c>
      <c r="B11" s="11" t="inlineStr">
        <is>
          <t>=SUMIFS('Synthetic data'!D5:D129,'Synthetic data'!B5:B129,"Central",'Synthetic data'!C5:C129,2025)</t>
        </is>
      </c>
      <c r="C11" s="7">
        <f>SUMIFS('Synthetic data'!D5:D129,'Synthetic data'!B5:B129,"Central",'Synthetic data'!C5:C129,2025)</f>
        <v/>
      </c>
      <c r="D11" s="12" t="inlineStr">
        <is>
          <t>Central Province, 2025 only. SUMIFS takes as many conditions as you need.</t>
        </is>
      </c>
    </row>
    <row r="12">
      <c r="A12" s="7" t="inlineStr">
        <is>
          <t>A decision</t>
        </is>
      </c>
      <c r="B12" s="11" t="inlineStr">
        <is>
          <t>=IF(C6&gt;50,"Above half","Below half")</t>
        </is>
      </c>
      <c r="C12" s="7">
        <f>IF(C6&gt;50,"Above half","Below half")</f>
        <v/>
      </c>
      <c r="D12" s="12" t="inlineStr">
        <is>
          <t>IF returns one thing or the other. C6 is the average internet percentage, on the Average row above.</t>
        </is>
      </c>
    </row>
    <row r="13">
      <c r="A13" s="7" t="inlineStr">
        <is>
          <t>A decision with three outcomes</t>
        </is>
      </c>
      <c r="B13" s="11" t="inlineStr">
        <is>
          <t>=IF(C6&gt;=60,"High",IF(C6&gt;=35,"Medium","Low"))</t>
        </is>
      </c>
      <c r="C13" s="7">
        <f>IF(C6&gt;=60,"High",IF(C6&gt;=35,"Medium","Low"))</f>
        <v/>
      </c>
      <c r="D13" s="12" t="inlineStr">
        <is>
          <t>Nesting IF inside IF. Readable up to about three; past that use IFS.</t>
        </is>
      </c>
    </row>
    <row r="14">
      <c r="A14" s="7" t="inlineStr">
        <is>
          <t>VLOOKUP</t>
        </is>
      </c>
      <c r="B14" s="11" t="inlineStr">
        <is>
          <t>=VLOOKUP($F$5,'Synthetic data'!A5:H129,4,FALSE)</t>
        </is>
      </c>
      <c r="C14" s="7">
        <f>VLOOKUP($F$5,'Synthetic data'!A5:H129,4,FALSE)</f>
        <v/>
      </c>
      <c r="D14" s="12" t="inlineStr">
        <is>
          <t>First matching row's population. FALSE means exact match — leave it out and VLOOKUP lies quietly.</t>
        </is>
      </c>
    </row>
    <row r="15">
      <c r="A15" s="7" t="inlineStr">
        <is>
          <t>XLOOKUP</t>
        </is>
      </c>
      <c r="B15" s="11" t="inlineStr">
        <is>
          <t>=XLOOKUP($F$5,'Synthetic data'!A5:A129,'Synthetic data'!D5:D129)</t>
        </is>
      </c>
      <c r="C15" s="7">
        <f>XLOOKUP($F$5,'Synthetic data'!A5:A129,'Synthetic data'!D5:D129)</f>
        <v/>
      </c>
      <c r="D15" s="12" t="inlineStr">
        <is>
          <t>Same answer, newer formula. Looks left as well as right, and does not break when a column is inserted.</t>
        </is>
      </c>
    </row>
    <row r="16">
      <c r="A16" s="7" t="inlineStr">
        <is>
          <t>XLOOKUP with a fallback</t>
        </is>
      </c>
      <c r="B16" s="11" t="inlineStr">
        <is>
          <t>=XLOOKUP($F$5,'Synthetic data'!A5:A129,'Synthetic data'!H5:H129,"Not found")</t>
        </is>
      </c>
      <c r="C16" s="7">
        <f>XLOOKUP($F$5,'Synthetic data'!A5:A129,'Synthetic data'!H5:H129,"Not found")</f>
        <v/>
      </c>
      <c r="D16" s="12" t="inlineStr">
        <is>
          <t>The fourth argument is what to show when there is no match. Always give it one.</t>
        </is>
      </c>
    </row>
    <row r="17">
      <c r="A17" s="7" t="inlineStr">
        <is>
          <t>Highest value</t>
        </is>
      </c>
      <c r="B17" s="11" t="inlineStr">
        <is>
          <t>=MAX('Synthetic data'!H5:H129)</t>
        </is>
      </c>
      <c r="C17" s="7">
        <f>MAX('Synthetic data'!H5:H129)</f>
        <v/>
      </c>
      <c r="D17" s="12" t="inlineStr">
        <is>
          <t>The largest monthly income in the sheet.</t>
        </is>
      </c>
    </row>
    <row r="18">
      <c r="A18" s="7" t="inlineStr">
        <is>
          <t>Which row is highest</t>
        </is>
      </c>
      <c r="B18" s="11" t="inlineStr">
        <is>
          <t>=INDEX('Synthetic data'!A5:A129,MATCH(MAX('Synthetic data'!H5:H129),'Synthetic data'!H5:H129,0))</t>
        </is>
      </c>
      <c r="C18" s="7">
        <f>INDEX('Synthetic data'!A5:A129,MATCH(MAX('Synthetic data'!H5:H129),'Synthetic data'!H5:H129,0))</f>
        <v/>
      </c>
      <c r="D18" s="12" t="inlineStr">
        <is>
          <t>INDEX and MATCH together answer 'which one', not just 'how much'.</t>
        </is>
      </c>
    </row>
    <row r="19">
      <c r="A19" s="7" t="inlineStr">
        <is>
          <t>Round a number</t>
        </is>
      </c>
      <c r="B19" s="11" t="inlineStr">
        <is>
          <t>=ROUND(C6,1)</t>
        </is>
      </c>
      <c r="C19" s="7">
        <f>ROUND(C6,1)</f>
        <v/>
      </c>
      <c r="D19" s="12" t="inlineStr">
        <is>
          <t>One decimal place. Round for display, never in the middle of a calculation.</t>
        </is>
      </c>
    </row>
    <row r="20">
      <c r="A20" s="7" t="inlineStr">
        <is>
          <t>Percentage of a total</t>
        </is>
      </c>
      <c r="B20" s="11" t="inlineStr">
        <is>
          <t>=SUMIF('Synthetic data'!C5:C129,2025,'Synthetic data'!D5:D129)/SUM('Synthetic data'!D5:D129)</t>
        </is>
      </c>
      <c r="C20" s="7">
        <f>SUMIF('Synthetic data'!C5:C129,2025,'Synthetic data'!D5:D129)/SUM('Synthetic data'!D5:D129)</f>
        <v/>
      </c>
      <c r="D20" s="12" t="inlineStr">
        <is>
          <t>Format the cell as a percentage rather than multiplying by 100.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4" customWidth="1" min="4" max="4"/>
    <col width="16" customWidth="1" min="5" max="5"/>
  </cols>
  <sheetData>
    <row r="1">
      <c r="A1" s="1" t="inlineStr">
        <is>
          <t>Tidy data, ready for a pivot table</t>
        </is>
      </c>
    </row>
    <row r="2">
      <c r="A2" s="10" t="inlineStr">
        <is>
          <t>One row per observation, one column per variable. This shape is what a pivot table needs.</t>
        </is>
      </c>
    </row>
    <row r="3">
      <c r="A3" s="10" t="inlineStr">
        <is>
          <t>Select A5 and press Ctrl+A, then Insert, PivotTable.</t>
        </is>
      </c>
    </row>
    <row r="5">
      <c r="A5" s="6" t="inlineStr">
        <is>
          <t>District</t>
        </is>
      </c>
      <c r="B5" s="6" t="inlineStr">
        <is>
          <t>Province</t>
        </is>
      </c>
      <c r="C5" s="6" t="inlineStr">
        <is>
          <t>Year</t>
        </is>
      </c>
      <c r="D5" s="6" t="inlineStr">
        <is>
          <t>Measure</t>
        </is>
      </c>
      <c r="E5" s="6" t="inlineStr">
        <is>
          <t>Value</t>
        </is>
      </c>
    </row>
    <row r="6">
      <c r="A6" t="inlineStr">
        <is>
          <t>Colombo</t>
        </is>
      </c>
      <c r="B6" t="inlineStr">
        <is>
          <t>Western</t>
        </is>
      </c>
      <c r="C6" t="n">
        <v>2021</v>
      </c>
      <c r="D6" t="inlineStr">
        <is>
          <t>Population</t>
        </is>
      </c>
      <c r="E6" s="14" t="n">
        <v>580512</v>
      </c>
    </row>
    <row r="7">
      <c r="A7" t="inlineStr">
        <is>
          <t>Colombo</t>
        </is>
      </c>
      <c r="B7" t="inlineStr">
        <is>
          <t>Western</t>
        </is>
      </c>
      <c r="C7" t="n">
        <v>2021</v>
      </c>
      <c r="D7" t="inlineStr">
        <is>
          <t>Schools</t>
        </is>
      </c>
      <c r="E7" s="14" t="n">
        <v>314</v>
      </c>
    </row>
    <row r="8">
      <c r="A8" t="inlineStr">
        <is>
          <t>Colombo</t>
        </is>
      </c>
      <c r="B8" t="inlineStr">
        <is>
          <t>Western</t>
        </is>
      </c>
      <c r="C8" t="n">
        <v>2021</v>
      </c>
      <c r="D8" t="inlineStr">
        <is>
          <t>Internet users (%)</t>
        </is>
      </c>
      <c r="E8" s="15" t="n">
        <v>57.9</v>
      </c>
    </row>
    <row r="9">
      <c r="A9" t="inlineStr">
        <is>
          <t>Colombo</t>
        </is>
      </c>
      <c r="B9" t="inlineStr">
        <is>
          <t>Western</t>
        </is>
      </c>
      <c r="C9" t="n">
        <v>2021</v>
      </c>
      <c r="D9" t="inlineStr">
        <is>
          <t>Households</t>
        </is>
      </c>
      <c r="E9" s="14" t="n">
        <v>156435</v>
      </c>
    </row>
    <row r="10">
      <c r="A10" t="inlineStr">
        <is>
          <t>Colombo</t>
        </is>
      </c>
      <c r="B10" t="inlineStr">
        <is>
          <t>Western</t>
        </is>
      </c>
      <c r="C10" t="n">
        <v>2021</v>
      </c>
      <c r="D10" t="inlineStr">
        <is>
          <t>Avg. monthly income (Rs)</t>
        </is>
      </c>
      <c r="E10" s="14" t="n">
        <v>91332</v>
      </c>
    </row>
    <row r="11">
      <c r="A11" t="inlineStr">
        <is>
          <t>Colombo</t>
        </is>
      </c>
      <c r="B11" t="inlineStr">
        <is>
          <t>Western</t>
        </is>
      </c>
      <c r="C11" t="n">
        <v>2022</v>
      </c>
      <c r="D11" t="inlineStr">
        <is>
          <t>Population</t>
        </is>
      </c>
      <c r="E11" s="14" t="n">
        <v>587889</v>
      </c>
    </row>
    <row r="12">
      <c r="A12" t="inlineStr">
        <is>
          <t>Colombo</t>
        </is>
      </c>
      <c r="B12" t="inlineStr">
        <is>
          <t>Western</t>
        </is>
      </c>
      <c r="C12" t="n">
        <v>2022</v>
      </c>
      <c r="D12" t="inlineStr">
        <is>
          <t>Schools</t>
        </is>
      </c>
      <c r="E12" s="14" t="n">
        <v>316</v>
      </c>
    </row>
    <row r="13">
      <c r="A13" t="inlineStr">
        <is>
          <t>Colombo</t>
        </is>
      </c>
      <c r="B13" t="inlineStr">
        <is>
          <t>Western</t>
        </is>
      </c>
      <c r="C13" t="n">
        <v>2022</v>
      </c>
      <c r="D13" t="inlineStr">
        <is>
          <t>Internet users (%)</t>
        </is>
      </c>
      <c r="E13" s="15" t="n">
        <v>61</v>
      </c>
    </row>
    <row r="14">
      <c r="A14" t="inlineStr">
        <is>
          <t>Colombo</t>
        </is>
      </c>
      <c r="B14" t="inlineStr">
        <is>
          <t>Western</t>
        </is>
      </c>
      <c r="C14" t="n">
        <v>2022</v>
      </c>
      <c r="D14" t="inlineStr">
        <is>
          <t>Households</t>
        </is>
      </c>
      <c r="E14" s="14" t="n">
        <v>138487</v>
      </c>
    </row>
    <row r="15">
      <c r="A15" t="inlineStr">
        <is>
          <t>Colombo</t>
        </is>
      </c>
      <c r="B15" t="inlineStr">
        <is>
          <t>Western</t>
        </is>
      </c>
      <c r="C15" t="n">
        <v>2022</v>
      </c>
      <c r="D15" t="inlineStr">
        <is>
          <t>Avg. monthly income (Rs)</t>
        </is>
      </c>
      <c r="E15" s="14" t="n">
        <v>100194</v>
      </c>
    </row>
    <row r="16">
      <c r="A16" t="inlineStr">
        <is>
          <t>Colombo</t>
        </is>
      </c>
      <c r="B16" t="inlineStr">
        <is>
          <t>Western</t>
        </is>
      </c>
      <c r="C16" t="n">
        <v>2023</v>
      </c>
      <c r="D16" t="inlineStr">
        <is>
          <t>Population</t>
        </is>
      </c>
      <c r="E16" s="14" t="n">
        <v>595361</v>
      </c>
    </row>
    <row r="17">
      <c r="A17" t="inlineStr">
        <is>
          <t>Colombo</t>
        </is>
      </c>
      <c r="B17" t="inlineStr">
        <is>
          <t>Western</t>
        </is>
      </c>
      <c r="C17" t="n">
        <v>2023</v>
      </c>
      <c r="D17" t="inlineStr">
        <is>
          <t>Schools</t>
        </is>
      </c>
      <c r="E17" s="14" t="n">
        <v>326</v>
      </c>
    </row>
    <row r="18">
      <c r="A18" t="inlineStr">
        <is>
          <t>Colombo</t>
        </is>
      </c>
      <c r="B18" t="inlineStr">
        <is>
          <t>Western</t>
        </is>
      </c>
      <c r="C18" t="n">
        <v>2023</v>
      </c>
      <c r="D18" t="inlineStr">
        <is>
          <t>Internet users (%)</t>
        </is>
      </c>
      <c r="E18" s="15" t="n">
        <v>61.8</v>
      </c>
    </row>
    <row r="19">
      <c r="A19" t="inlineStr">
        <is>
          <t>Colombo</t>
        </is>
      </c>
      <c r="B19" t="inlineStr">
        <is>
          <t>Western</t>
        </is>
      </c>
      <c r="C19" t="n">
        <v>2023</v>
      </c>
      <c r="D19" t="inlineStr">
        <is>
          <t>Households</t>
        </is>
      </c>
      <c r="E19" s="14" t="n">
        <v>146298</v>
      </c>
    </row>
    <row r="20">
      <c r="A20" t="inlineStr">
        <is>
          <t>Colombo</t>
        </is>
      </c>
      <c r="B20" t="inlineStr">
        <is>
          <t>Western</t>
        </is>
      </c>
      <c r="C20" t="n">
        <v>2023</v>
      </c>
      <c r="D20" t="inlineStr">
        <is>
          <t>Avg. monthly income (Rs)</t>
        </is>
      </c>
      <c r="E20" s="14" t="n">
        <v>101875</v>
      </c>
    </row>
    <row r="21">
      <c r="A21" t="inlineStr">
        <is>
          <t>Colombo</t>
        </is>
      </c>
      <c r="B21" t="inlineStr">
        <is>
          <t>Western</t>
        </is>
      </c>
      <c r="C21" t="n">
        <v>2024</v>
      </c>
      <c r="D21" t="inlineStr">
        <is>
          <t>Population</t>
        </is>
      </c>
      <c r="E21" s="14" t="n">
        <v>602928</v>
      </c>
    </row>
    <row r="22">
      <c r="A22" t="inlineStr">
        <is>
          <t>Colombo</t>
        </is>
      </c>
      <c r="B22" t="inlineStr">
        <is>
          <t>Western</t>
        </is>
      </c>
      <c r="C22" t="n">
        <v>2024</v>
      </c>
      <c r="D22" t="inlineStr">
        <is>
          <t>Schools</t>
        </is>
      </c>
      <c r="E22" s="14" t="n">
        <v>335</v>
      </c>
    </row>
    <row r="23">
      <c r="A23" t="inlineStr">
        <is>
          <t>Colombo</t>
        </is>
      </c>
      <c r="B23" t="inlineStr">
        <is>
          <t>Western</t>
        </is>
      </c>
      <c r="C23" t="n">
        <v>2024</v>
      </c>
      <c r="D23" t="inlineStr">
        <is>
          <t>Internet users (%)</t>
        </is>
      </c>
      <c r="E23" s="15" t="n">
        <v>67.3</v>
      </c>
    </row>
    <row r="24">
      <c r="A24" t="inlineStr">
        <is>
          <t>Colombo</t>
        </is>
      </c>
      <c r="B24" t="inlineStr">
        <is>
          <t>Western</t>
        </is>
      </c>
      <c r="C24" t="n">
        <v>2024</v>
      </c>
      <c r="D24" t="inlineStr">
        <is>
          <t>Households</t>
        </is>
      </c>
      <c r="E24" s="14" t="n">
        <v>149224</v>
      </c>
    </row>
    <row r="25">
      <c r="A25" t="inlineStr">
        <is>
          <t>Colombo</t>
        </is>
      </c>
      <c r="B25" t="inlineStr">
        <is>
          <t>Western</t>
        </is>
      </c>
      <c r="C25" t="n">
        <v>2024</v>
      </c>
      <c r="D25" t="inlineStr">
        <is>
          <t>Avg. monthly income (Rs)</t>
        </is>
      </c>
      <c r="E25" s="14" t="n">
        <v>120243</v>
      </c>
    </row>
    <row r="26">
      <c r="A26" t="inlineStr">
        <is>
          <t>Colombo</t>
        </is>
      </c>
      <c r="B26" t="inlineStr">
        <is>
          <t>Western</t>
        </is>
      </c>
      <c r="C26" t="n">
        <v>2025</v>
      </c>
      <c r="D26" t="inlineStr">
        <is>
          <t>Population</t>
        </is>
      </c>
      <c r="E26" s="14" t="n">
        <v>610591</v>
      </c>
    </row>
    <row r="27">
      <c r="A27" t="inlineStr">
        <is>
          <t>Colombo</t>
        </is>
      </c>
      <c r="B27" t="inlineStr">
        <is>
          <t>Western</t>
        </is>
      </c>
      <c r="C27" t="n">
        <v>2025</v>
      </c>
      <c r="D27" t="inlineStr">
        <is>
          <t>Schools</t>
        </is>
      </c>
      <c r="E27" s="14" t="n">
        <v>322</v>
      </c>
    </row>
    <row r="28">
      <c r="A28" t="inlineStr">
        <is>
          <t>Colombo</t>
        </is>
      </c>
      <c r="B28" t="inlineStr">
        <is>
          <t>Western</t>
        </is>
      </c>
      <c r="C28" t="n">
        <v>2025</v>
      </c>
      <c r="D28" t="inlineStr">
        <is>
          <t>Internet users (%)</t>
        </is>
      </c>
      <c r="E28" s="15" t="n">
        <v>66.09999999999999</v>
      </c>
    </row>
    <row r="29">
      <c r="A29" t="inlineStr">
        <is>
          <t>Colombo</t>
        </is>
      </c>
      <c r="B29" t="inlineStr">
        <is>
          <t>Western</t>
        </is>
      </c>
      <c r="C29" t="n">
        <v>2025</v>
      </c>
      <c r="D29" t="inlineStr">
        <is>
          <t>Households</t>
        </is>
      </c>
      <c r="E29" s="14" t="n">
        <v>139829</v>
      </c>
    </row>
    <row r="30">
      <c r="A30" t="inlineStr">
        <is>
          <t>Colombo</t>
        </is>
      </c>
      <c r="B30" t="inlineStr">
        <is>
          <t>Western</t>
        </is>
      </c>
      <c r="C30" t="n">
        <v>2025</v>
      </c>
      <c r="D30" t="inlineStr">
        <is>
          <t>Avg. monthly income (Rs)</t>
        </is>
      </c>
      <c r="E30" s="14" t="n">
        <v>103372</v>
      </c>
    </row>
    <row r="31">
      <c r="A31" t="inlineStr">
        <is>
          <t>Gampaha</t>
        </is>
      </c>
      <c r="B31" t="inlineStr">
        <is>
          <t>Western</t>
        </is>
      </c>
      <c r="C31" t="n">
        <v>2021</v>
      </c>
      <c r="D31" t="inlineStr">
        <is>
          <t>Population</t>
        </is>
      </c>
      <c r="E31" s="14" t="n">
        <v>1741385</v>
      </c>
    </row>
    <row r="32">
      <c r="A32" t="inlineStr">
        <is>
          <t>Gampaha</t>
        </is>
      </c>
      <c r="B32" t="inlineStr">
        <is>
          <t>Western</t>
        </is>
      </c>
      <c r="C32" t="n">
        <v>2021</v>
      </c>
      <c r="D32" t="inlineStr">
        <is>
          <t>Schools</t>
        </is>
      </c>
      <c r="E32" s="14" t="n">
        <v>460</v>
      </c>
    </row>
    <row r="33">
      <c r="A33" t="inlineStr">
        <is>
          <t>Gampaha</t>
        </is>
      </c>
      <c r="B33" t="inlineStr">
        <is>
          <t>Western</t>
        </is>
      </c>
      <c r="C33" t="n">
        <v>2021</v>
      </c>
      <c r="D33" t="inlineStr">
        <is>
          <t>Internet users (%)</t>
        </is>
      </c>
      <c r="E33" s="15" t="n">
        <v>20.2</v>
      </c>
    </row>
    <row r="34">
      <c r="A34" t="inlineStr">
        <is>
          <t>Gampaha</t>
        </is>
      </c>
      <c r="B34" t="inlineStr">
        <is>
          <t>Western</t>
        </is>
      </c>
      <c r="C34" t="n">
        <v>2021</v>
      </c>
      <c r="D34" t="inlineStr">
        <is>
          <t>Households</t>
        </is>
      </c>
      <c r="E34" s="14" t="n">
        <v>469163</v>
      </c>
    </row>
    <row r="35">
      <c r="A35" t="inlineStr">
        <is>
          <t>Gampaha</t>
        </is>
      </c>
      <c r="B35" t="inlineStr">
        <is>
          <t>Western</t>
        </is>
      </c>
      <c r="C35" t="n">
        <v>2021</v>
      </c>
      <c r="D35" t="inlineStr">
        <is>
          <t>Avg. monthly income (Rs)</t>
        </is>
      </c>
      <c r="E35" s="14" t="n">
        <v>63947</v>
      </c>
    </row>
    <row r="36">
      <c r="A36" t="inlineStr">
        <is>
          <t>Gampaha</t>
        </is>
      </c>
      <c r="B36" t="inlineStr">
        <is>
          <t>Western</t>
        </is>
      </c>
      <c r="C36" t="n">
        <v>2022</v>
      </c>
      <c r="D36" t="inlineStr">
        <is>
          <t>Population</t>
        </is>
      </c>
      <c r="E36" s="14" t="n">
        <v>1757507</v>
      </c>
    </row>
    <row r="37">
      <c r="A37" t="inlineStr">
        <is>
          <t>Gampaha</t>
        </is>
      </c>
      <c r="B37" t="inlineStr">
        <is>
          <t>Western</t>
        </is>
      </c>
      <c r="C37" t="n">
        <v>2022</v>
      </c>
      <c r="D37" t="inlineStr">
        <is>
          <t>Schools</t>
        </is>
      </c>
      <c r="E37" s="14" t="n">
        <v>463</v>
      </c>
    </row>
    <row r="38">
      <c r="A38" t="inlineStr">
        <is>
          <t>Gampaha</t>
        </is>
      </c>
      <c r="B38" t="inlineStr">
        <is>
          <t>Western</t>
        </is>
      </c>
      <c r="C38" t="n">
        <v>2022</v>
      </c>
      <c r="D38" t="inlineStr">
        <is>
          <t>Internet users (%)</t>
        </is>
      </c>
      <c r="E38" s="15" t="n">
        <v>21.8</v>
      </c>
    </row>
    <row r="39">
      <c r="A39" t="inlineStr">
        <is>
          <t>Gampaha</t>
        </is>
      </c>
      <c r="B39" t="inlineStr">
        <is>
          <t>Western</t>
        </is>
      </c>
      <c r="C39" t="n">
        <v>2022</v>
      </c>
      <c r="D39" t="inlineStr">
        <is>
          <t>Households</t>
        </is>
      </c>
      <c r="E39" s="14" t="n">
        <v>429214</v>
      </c>
    </row>
    <row r="40">
      <c r="A40" t="inlineStr">
        <is>
          <t>Gampaha</t>
        </is>
      </c>
      <c r="B40" t="inlineStr">
        <is>
          <t>Western</t>
        </is>
      </c>
      <c r="C40" t="n">
        <v>2022</v>
      </c>
      <c r="D40" t="inlineStr">
        <is>
          <t>Avg. monthly income (Rs)</t>
        </is>
      </c>
      <c r="E40" s="14" t="n">
        <v>67171</v>
      </c>
    </row>
    <row r="41">
      <c r="A41" t="inlineStr">
        <is>
          <t>Gampaha</t>
        </is>
      </c>
      <c r="B41" t="inlineStr">
        <is>
          <t>Western</t>
        </is>
      </c>
      <c r="C41" t="n">
        <v>2023</v>
      </c>
      <c r="D41" t="inlineStr">
        <is>
          <t>Population</t>
        </is>
      </c>
      <c r="E41" s="14" t="n">
        <v>1773779</v>
      </c>
    </row>
    <row r="42">
      <c r="A42" t="inlineStr">
        <is>
          <t>Gampaha</t>
        </is>
      </c>
      <c r="B42" t="inlineStr">
        <is>
          <t>Western</t>
        </is>
      </c>
      <c r="C42" t="n">
        <v>2023</v>
      </c>
      <c r="D42" t="inlineStr">
        <is>
          <t>Schools</t>
        </is>
      </c>
      <c r="E42" s="14" t="n">
        <v>474</v>
      </c>
    </row>
    <row r="43">
      <c r="A43" t="inlineStr">
        <is>
          <t>Gampaha</t>
        </is>
      </c>
      <c r="B43" t="inlineStr">
        <is>
          <t>Western</t>
        </is>
      </c>
      <c r="C43" t="n">
        <v>2023</v>
      </c>
      <c r="D43" t="inlineStr">
        <is>
          <t>Internet users (%)</t>
        </is>
      </c>
      <c r="E43" s="15" t="n">
        <v>25</v>
      </c>
    </row>
    <row r="44">
      <c r="A44" t="inlineStr">
        <is>
          <t>Gampaha</t>
        </is>
      </c>
      <c r="B44" t="inlineStr">
        <is>
          <t>Western</t>
        </is>
      </c>
      <c r="C44" t="n">
        <v>2023</v>
      </c>
      <c r="D44" t="inlineStr">
        <is>
          <t>Households</t>
        </is>
      </c>
      <c r="E44" s="14" t="n">
        <v>419052</v>
      </c>
    </row>
    <row r="45">
      <c r="A45" t="inlineStr">
        <is>
          <t>Gampaha</t>
        </is>
      </c>
      <c r="B45" t="inlineStr">
        <is>
          <t>Western</t>
        </is>
      </c>
      <c r="C45" t="n">
        <v>2023</v>
      </c>
      <c r="D45" t="inlineStr">
        <is>
          <t>Avg. monthly income (Rs)</t>
        </is>
      </c>
      <c r="E45" s="14" t="n">
        <v>70293</v>
      </c>
    </row>
    <row r="46">
      <c r="A46" t="inlineStr">
        <is>
          <t>Gampaha</t>
        </is>
      </c>
      <c r="B46" t="inlineStr">
        <is>
          <t>Western</t>
        </is>
      </c>
      <c r="C46" t="n">
        <v>2024</v>
      </c>
      <c r="D46" t="inlineStr">
        <is>
          <t>Population</t>
        </is>
      </c>
      <c r="E46" s="14" t="n">
        <v>1790201</v>
      </c>
    </row>
    <row r="47">
      <c r="A47" t="inlineStr">
        <is>
          <t>Gampaha</t>
        </is>
      </c>
      <c r="B47" t="inlineStr">
        <is>
          <t>Western</t>
        </is>
      </c>
      <c r="C47" t="n">
        <v>2024</v>
      </c>
      <c r="D47" t="inlineStr">
        <is>
          <t>Schools</t>
        </is>
      </c>
      <c r="E47" s="14" t="n">
        <v>448</v>
      </c>
    </row>
    <row r="48">
      <c r="A48" t="inlineStr">
        <is>
          <t>Gampaha</t>
        </is>
      </c>
      <c r="B48" t="inlineStr">
        <is>
          <t>Western</t>
        </is>
      </c>
      <c r="C48" t="n">
        <v>2024</v>
      </c>
      <c r="D48" t="inlineStr">
        <is>
          <t>Internet users (%)</t>
        </is>
      </c>
      <c r="E48" s="15" t="n">
        <v>29.9</v>
      </c>
    </row>
    <row r="49">
      <c r="A49" t="inlineStr">
        <is>
          <t>Gampaha</t>
        </is>
      </c>
      <c r="B49" t="inlineStr">
        <is>
          <t>Western</t>
        </is>
      </c>
      <c r="C49" t="n">
        <v>2024</v>
      </c>
      <c r="D49" t="inlineStr">
        <is>
          <t>Households</t>
        </is>
      </c>
      <c r="E49" s="14" t="n">
        <v>447430</v>
      </c>
    </row>
    <row r="50">
      <c r="A50" t="inlineStr">
        <is>
          <t>Gampaha</t>
        </is>
      </c>
      <c r="B50" t="inlineStr">
        <is>
          <t>Western</t>
        </is>
      </c>
      <c r="C50" t="n">
        <v>2024</v>
      </c>
      <c r="D50" t="inlineStr">
        <is>
          <t>Avg. monthly income (Rs)</t>
        </is>
      </c>
      <c r="E50" s="14" t="n">
        <v>76295</v>
      </c>
    </row>
    <row r="51">
      <c r="A51" t="inlineStr">
        <is>
          <t>Gampaha</t>
        </is>
      </c>
      <c r="B51" t="inlineStr">
        <is>
          <t>Western</t>
        </is>
      </c>
      <c r="C51" t="n">
        <v>2025</v>
      </c>
      <c r="D51" t="inlineStr">
        <is>
          <t>Population</t>
        </is>
      </c>
      <c r="E51" s="14" t="n">
        <v>1806775</v>
      </c>
    </row>
    <row r="52">
      <c r="A52" t="inlineStr">
        <is>
          <t>Gampaha</t>
        </is>
      </c>
      <c r="B52" t="inlineStr">
        <is>
          <t>Western</t>
        </is>
      </c>
      <c r="C52" t="n">
        <v>2025</v>
      </c>
      <c r="D52" t="inlineStr">
        <is>
          <t>Schools</t>
        </is>
      </c>
      <c r="E52" s="14" t="n">
        <v>488</v>
      </c>
    </row>
    <row r="53">
      <c r="A53" t="inlineStr">
        <is>
          <t>Gampaha</t>
        </is>
      </c>
      <c r="B53" t="inlineStr">
        <is>
          <t>Western</t>
        </is>
      </c>
      <c r="C53" t="n">
        <v>2025</v>
      </c>
      <c r="D53" t="inlineStr">
        <is>
          <t>Internet users (%)</t>
        </is>
      </c>
      <c r="E53" s="15" t="n">
        <v>28.9</v>
      </c>
    </row>
    <row r="54">
      <c r="A54" t="inlineStr">
        <is>
          <t>Gampaha</t>
        </is>
      </c>
      <c r="B54" t="inlineStr">
        <is>
          <t>Western</t>
        </is>
      </c>
      <c r="C54" t="n">
        <v>2025</v>
      </c>
      <c r="D54" t="inlineStr">
        <is>
          <t>Households</t>
        </is>
      </c>
      <c r="E54" s="14" t="n">
        <v>423371</v>
      </c>
    </row>
    <row r="55">
      <c r="A55" t="inlineStr">
        <is>
          <t>Gampaha</t>
        </is>
      </c>
      <c r="B55" t="inlineStr">
        <is>
          <t>Western</t>
        </is>
      </c>
      <c r="C55" t="n">
        <v>2025</v>
      </c>
      <c r="D55" t="inlineStr">
        <is>
          <t>Avg. monthly income (Rs)</t>
        </is>
      </c>
      <c r="E55" s="14" t="n">
        <v>89623</v>
      </c>
    </row>
    <row r="56">
      <c r="A56" t="inlineStr">
        <is>
          <t>Kalutara</t>
        </is>
      </c>
      <c r="B56" t="inlineStr">
        <is>
          <t>Western</t>
        </is>
      </c>
      <c r="C56" t="n">
        <v>2021</v>
      </c>
      <c r="D56" t="inlineStr">
        <is>
          <t>Population</t>
        </is>
      </c>
      <c r="E56" s="14" t="n">
        <v>1056369</v>
      </c>
    </row>
    <row r="57">
      <c r="A57" t="inlineStr">
        <is>
          <t>Kalutara</t>
        </is>
      </c>
      <c r="B57" t="inlineStr">
        <is>
          <t>Western</t>
        </is>
      </c>
      <c r="C57" t="n">
        <v>2021</v>
      </c>
      <c r="D57" t="inlineStr">
        <is>
          <t>Schools</t>
        </is>
      </c>
      <c r="E57" s="14" t="n">
        <v>825</v>
      </c>
    </row>
    <row r="58">
      <c r="A58" t="inlineStr">
        <is>
          <t>Kalutara</t>
        </is>
      </c>
      <c r="B58" t="inlineStr">
        <is>
          <t>Western</t>
        </is>
      </c>
      <c r="C58" t="n">
        <v>2021</v>
      </c>
      <c r="D58" t="inlineStr">
        <is>
          <t>Internet users (%)</t>
        </is>
      </c>
      <c r="E58" s="15" t="n">
        <v>23.9</v>
      </c>
    </row>
    <row r="59">
      <c r="A59" t="inlineStr">
        <is>
          <t>Kalutara</t>
        </is>
      </c>
      <c r="B59" t="inlineStr">
        <is>
          <t>Western</t>
        </is>
      </c>
      <c r="C59" t="n">
        <v>2021</v>
      </c>
      <c r="D59" t="inlineStr">
        <is>
          <t>Households</t>
        </is>
      </c>
      <c r="E59" s="14" t="n">
        <v>267850</v>
      </c>
    </row>
    <row r="60">
      <c r="A60" t="inlineStr">
        <is>
          <t>Kalutara</t>
        </is>
      </c>
      <c r="B60" t="inlineStr">
        <is>
          <t>Western</t>
        </is>
      </c>
      <c r="C60" t="n">
        <v>2021</v>
      </c>
      <c r="D60" t="inlineStr">
        <is>
          <t>Avg. monthly income (Rs)</t>
        </is>
      </c>
      <c r="E60" s="14" t="n">
        <v>48737</v>
      </c>
    </row>
    <row r="61">
      <c r="A61" t="inlineStr">
        <is>
          <t>Kalutara</t>
        </is>
      </c>
      <c r="B61" t="inlineStr">
        <is>
          <t>Western</t>
        </is>
      </c>
      <c r="C61" t="n">
        <v>2022</v>
      </c>
      <c r="D61" t="inlineStr">
        <is>
          <t>Population</t>
        </is>
      </c>
      <c r="E61" s="14" t="n">
        <v>1074227</v>
      </c>
    </row>
    <row r="62">
      <c r="A62" t="inlineStr">
        <is>
          <t>Kalutara</t>
        </is>
      </c>
      <c r="B62" t="inlineStr">
        <is>
          <t>Western</t>
        </is>
      </c>
      <c r="C62" t="n">
        <v>2022</v>
      </c>
      <c r="D62" t="inlineStr">
        <is>
          <t>Schools</t>
        </is>
      </c>
      <c r="E62" s="14" t="n">
        <v>830</v>
      </c>
    </row>
    <row r="63">
      <c r="A63" t="inlineStr">
        <is>
          <t>Kalutara</t>
        </is>
      </c>
      <c r="B63" t="inlineStr">
        <is>
          <t>Western</t>
        </is>
      </c>
      <c r="C63" t="n">
        <v>2022</v>
      </c>
      <c r="D63" t="inlineStr">
        <is>
          <t>Internet users (%)</t>
        </is>
      </c>
      <c r="E63" s="15" t="n">
        <v>25.9</v>
      </c>
    </row>
    <row r="64">
      <c r="A64" t="inlineStr">
        <is>
          <t>Kalutara</t>
        </is>
      </c>
      <c r="B64" t="inlineStr">
        <is>
          <t>Western</t>
        </is>
      </c>
      <c r="C64" t="n">
        <v>2022</v>
      </c>
      <c r="D64" t="inlineStr">
        <is>
          <t>Households</t>
        </is>
      </c>
      <c r="E64" s="14" t="n">
        <v>248418</v>
      </c>
    </row>
    <row r="65">
      <c r="A65" t="inlineStr">
        <is>
          <t>Kalutara</t>
        </is>
      </c>
      <c r="B65" t="inlineStr">
        <is>
          <t>Western</t>
        </is>
      </c>
      <c r="C65" t="n">
        <v>2022</v>
      </c>
      <c r="D65" t="inlineStr">
        <is>
          <t>Avg. monthly income (Rs)</t>
        </is>
      </c>
      <c r="E65" s="14" t="n">
        <v>53837</v>
      </c>
    </row>
    <row r="66">
      <c r="A66" t="inlineStr">
        <is>
          <t>Kalutara</t>
        </is>
      </c>
      <c r="B66" t="inlineStr">
        <is>
          <t>Western</t>
        </is>
      </c>
      <c r="C66" t="n">
        <v>2023</v>
      </c>
      <c r="D66" t="inlineStr">
        <is>
          <t>Population</t>
        </is>
      </c>
      <c r="E66" s="14" t="n">
        <v>1092388</v>
      </c>
    </row>
    <row r="67">
      <c r="A67" t="inlineStr">
        <is>
          <t>Kalutara</t>
        </is>
      </c>
      <c r="B67" t="inlineStr">
        <is>
          <t>Western</t>
        </is>
      </c>
      <c r="C67" t="n">
        <v>2023</v>
      </c>
      <c r="D67" t="inlineStr">
        <is>
          <t>Schools</t>
        </is>
      </c>
      <c r="E67" s="14" t="n">
        <v>841</v>
      </c>
    </row>
    <row r="68">
      <c r="A68" t="inlineStr">
        <is>
          <t>Kalutara</t>
        </is>
      </c>
      <c r="B68" t="inlineStr">
        <is>
          <t>Western</t>
        </is>
      </c>
      <c r="C68" t="n">
        <v>2023</v>
      </c>
      <c r="D68" t="inlineStr">
        <is>
          <t>Internet users (%)</t>
        </is>
      </c>
      <c r="E68" s="15" t="n">
        <v>32.7</v>
      </c>
    </row>
    <row r="69">
      <c r="A69" t="inlineStr">
        <is>
          <t>Kalutara</t>
        </is>
      </c>
      <c r="B69" t="inlineStr">
        <is>
          <t>Western</t>
        </is>
      </c>
      <c r="C69" t="n">
        <v>2023</v>
      </c>
      <c r="D69" t="inlineStr">
        <is>
          <t>Households</t>
        </is>
      </c>
      <c r="E69" s="14" t="n">
        <v>267741</v>
      </c>
    </row>
    <row r="70">
      <c r="A70" t="inlineStr">
        <is>
          <t>Kalutara</t>
        </is>
      </c>
      <c r="B70" t="inlineStr">
        <is>
          <t>Western</t>
        </is>
      </c>
      <c r="C70" t="n">
        <v>2023</v>
      </c>
      <c r="D70" t="inlineStr">
        <is>
          <t>Avg. monthly income (Rs)</t>
        </is>
      </c>
      <c r="E70" s="14" t="n">
        <v>57573</v>
      </c>
    </row>
    <row r="71">
      <c r="A71" t="inlineStr">
        <is>
          <t>Kalutara</t>
        </is>
      </c>
      <c r="B71" t="inlineStr">
        <is>
          <t>Western</t>
        </is>
      </c>
      <c r="C71" t="n">
        <v>2024</v>
      </c>
      <c r="D71" t="inlineStr">
        <is>
          <t>Population</t>
        </is>
      </c>
      <c r="E71" s="14" t="n">
        <v>1110856</v>
      </c>
    </row>
    <row r="72">
      <c r="A72" t="inlineStr">
        <is>
          <t>Kalutara</t>
        </is>
      </c>
      <c r="B72" t="inlineStr">
        <is>
          <t>Western</t>
        </is>
      </c>
      <c r="C72" t="n">
        <v>2024</v>
      </c>
      <c r="D72" t="inlineStr">
        <is>
          <t>Schools</t>
        </is>
      </c>
      <c r="E72" s="14" t="n">
        <v>825</v>
      </c>
    </row>
    <row r="73">
      <c r="A73" t="inlineStr">
        <is>
          <t>Kalutara</t>
        </is>
      </c>
      <c r="B73" t="inlineStr">
        <is>
          <t>Western</t>
        </is>
      </c>
      <c r="C73" t="n">
        <v>2024</v>
      </c>
      <c r="D73" t="inlineStr">
        <is>
          <t>Internet users (%)</t>
        </is>
      </c>
      <c r="E73" s="15" t="n">
        <v>35.7</v>
      </c>
    </row>
    <row r="74">
      <c r="A74" t="inlineStr">
        <is>
          <t>Kalutara</t>
        </is>
      </c>
      <c r="B74" t="inlineStr">
        <is>
          <t>Western</t>
        </is>
      </c>
      <c r="C74" t="n">
        <v>2024</v>
      </c>
      <c r="D74" t="inlineStr">
        <is>
          <t>Households</t>
        </is>
      </c>
      <c r="E74" s="14" t="n">
        <v>306719</v>
      </c>
    </row>
    <row r="75">
      <c r="A75" t="inlineStr">
        <is>
          <t>Kalutara</t>
        </is>
      </c>
      <c r="B75" t="inlineStr">
        <is>
          <t>Western</t>
        </is>
      </c>
      <c r="C75" t="n">
        <v>2024</v>
      </c>
      <c r="D75" t="inlineStr">
        <is>
          <t>Avg. monthly income (Rs)</t>
        </is>
      </c>
      <c r="E75" s="14" t="n">
        <v>65615</v>
      </c>
    </row>
    <row r="76">
      <c r="A76" t="inlineStr">
        <is>
          <t>Kalutara</t>
        </is>
      </c>
      <c r="B76" t="inlineStr">
        <is>
          <t>Western</t>
        </is>
      </c>
      <c r="C76" t="n">
        <v>2025</v>
      </c>
      <c r="D76" t="inlineStr">
        <is>
          <t>Population</t>
        </is>
      </c>
      <c r="E76" s="14" t="n">
        <v>1129636</v>
      </c>
    </row>
    <row r="77">
      <c r="A77" t="inlineStr">
        <is>
          <t>Kalutara</t>
        </is>
      </c>
      <c r="B77" t="inlineStr">
        <is>
          <t>Western</t>
        </is>
      </c>
      <c r="C77" t="n">
        <v>2025</v>
      </c>
      <c r="D77" t="inlineStr">
        <is>
          <t>Schools</t>
        </is>
      </c>
      <c r="E77" s="14" t="n">
        <v>833</v>
      </c>
    </row>
    <row r="78">
      <c r="A78" t="inlineStr">
        <is>
          <t>Kalutara</t>
        </is>
      </c>
      <c r="B78" t="inlineStr">
        <is>
          <t>Western</t>
        </is>
      </c>
      <c r="C78" t="n">
        <v>2025</v>
      </c>
      <c r="D78" t="inlineStr">
        <is>
          <t>Internet users (%)</t>
        </is>
      </c>
      <c r="E78" s="15" t="n">
        <v>35.9</v>
      </c>
    </row>
    <row r="79">
      <c r="A79" t="inlineStr">
        <is>
          <t>Kalutara</t>
        </is>
      </c>
      <c r="B79" t="inlineStr">
        <is>
          <t>Western</t>
        </is>
      </c>
      <c r="C79" t="n">
        <v>2025</v>
      </c>
      <c r="D79" t="inlineStr">
        <is>
          <t>Households</t>
        </is>
      </c>
      <c r="E79" s="14" t="n">
        <v>285501</v>
      </c>
    </row>
    <row r="80">
      <c r="A80" t="inlineStr">
        <is>
          <t>Kalutara</t>
        </is>
      </c>
      <c r="B80" t="inlineStr">
        <is>
          <t>Western</t>
        </is>
      </c>
      <c r="C80" t="n">
        <v>2025</v>
      </c>
      <c r="D80" t="inlineStr">
        <is>
          <t>Avg. monthly income (Rs)</t>
        </is>
      </c>
      <c r="E80" s="14" t="n">
        <v>64142</v>
      </c>
    </row>
    <row r="81">
      <c r="A81" t="inlineStr">
        <is>
          <t>Kandy</t>
        </is>
      </c>
      <c r="B81" t="inlineStr">
        <is>
          <t>Central</t>
        </is>
      </c>
      <c r="C81" t="n">
        <v>2021</v>
      </c>
      <c r="D81" t="inlineStr">
        <is>
          <t>Population</t>
        </is>
      </c>
      <c r="E81" s="14" t="n">
        <v>418247</v>
      </c>
    </row>
    <row r="82">
      <c r="A82" t="inlineStr">
        <is>
          <t>Kandy</t>
        </is>
      </c>
      <c r="B82" t="inlineStr">
        <is>
          <t>Central</t>
        </is>
      </c>
      <c r="C82" t="n">
        <v>2021</v>
      </c>
      <c r="D82" t="inlineStr">
        <is>
          <t>Schools</t>
        </is>
      </c>
      <c r="E82" s="14" t="n">
        <v>264</v>
      </c>
    </row>
    <row r="83">
      <c r="A83" t="inlineStr">
        <is>
          <t>Kandy</t>
        </is>
      </c>
      <c r="B83" t="inlineStr">
        <is>
          <t>Central</t>
        </is>
      </c>
      <c r="C83" t="n">
        <v>2021</v>
      </c>
      <c r="D83" t="inlineStr">
        <is>
          <t>Internet users (%)</t>
        </is>
      </c>
      <c r="E83" s="15" t="n">
        <v>58.4</v>
      </c>
    </row>
    <row r="84">
      <c r="A84" t="inlineStr">
        <is>
          <t>Kandy</t>
        </is>
      </c>
      <c r="B84" t="inlineStr">
        <is>
          <t>Central</t>
        </is>
      </c>
      <c r="C84" t="n">
        <v>2021</v>
      </c>
      <c r="D84" t="inlineStr">
        <is>
          <t>Households</t>
        </is>
      </c>
      <c r="E84" s="14" t="n">
        <v>95404</v>
      </c>
    </row>
    <row r="85">
      <c r="A85" t="inlineStr">
        <is>
          <t>Kandy</t>
        </is>
      </c>
      <c r="B85" t="inlineStr">
        <is>
          <t>Central</t>
        </is>
      </c>
      <c r="C85" t="n">
        <v>2021</v>
      </c>
      <c r="D85" t="inlineStr">
        <is>
          <t>Avg. monthly income (Rs)</t>
        </is>
      </c>
      <c r="E85" s="14" t="n">
        <v>70169</v>
      </c>
    </row>
    <row r="86">
      <c r="A86" t="inlineStr">
        <is>
          <t>Kandy</t>
        </is>
      </c>
      <c r="B86" t="inlineStr">
        <is>
          <t>Central</t>
        </is>
      </c>
      <c r="C86" t="n">
        <v>2022</v>
      </c>
      <c r="D86" t="inlineStr">
        <is>
          <t>Population</t>
        </is>
      </c>
      <c r="E86" s="14" t="n">
        <v>422808</v>
      </c>
    </row>
    <row r="87">
      <c r="A87" t="inlineStr">
        <is>
          <t>Kandy</t>
        </is>
      </c>
      <c r="B87" t="inlineStr">
        <is>
          <t>Central</t>
        </is>
      </c>
      <c r="C87" t="n">
        <v>2022</v>
      </c>
      <c r="D87" t="inlineStr">
        <is>
          <t>Schools</t>
        </is>
      </c>
      <c r="E87" s="14" t="n">
        <v>272</v>
      </c>
    </row>
    <row r="88">
      <c r="A88" t="inlineStr">
        <is>
          <t>Kandy</t>
        </is>
      </c>
      <c r="B88" t="inlineStr">
        <is>
          <t>Central</t>
        </is>
      </c>
      <c r="C88" t="n">
        <v>2022</v>
      </c>
      <c r="D88" t="inlineStr">
        <is>
          <t>Internet users (%)</t>
        </is>
      </c>
      <c r="E88" s="15" t="n">
        <v>60</v>
      </c>
    </row>
    <row r="89">
      <c r="A89" t="inlineStr">
        <is>
          <t>Kandy</t>
        </is>
      </c>
      <c r="B89" t="inlineStr">
        <is>
          <t>Central</t>
        </is>
      </c>
      <c r="C89" t="n">
        <v>2022</v>
      </c>
      <c r="D89" t="inlineStr">
        <is>
          <t>Households</t>
        </is>
      </c>
      <c r="E89" s="14" t="n">
        <v>96430</v>
      </c>
    </row>
    <row r="90">
      <c r="A90" t="inlineStr">
        <is>
          <t>Kandy</t>
        </is>
      </c>
      <c r="B90" t="inlineStr">
        <is>
          <t>Central</t>
        </is>
      </c>
      <c r="C90" t="n">
        <v>2022</v>
      </c>
      <c r="D90" t="inlineStr">
        <is>
          <t>Avg. monthly income (Rs)</t>
        </is>
      </c>
      <c r="E90" s="14" t="n">
        <v>73053</v>
      </c>
    </row>
    <row r="91">
      <c r="A91" t="inlineStr">
        <is>
          <t>Kandy</t>
        </is>
      </c>
      <c r="B91" t="inlineStr">
        <is>
          <t>Central</t>
        </is>
      </c>
      <c r="C91" t="n">
        <v>2023</v>
      </c>
      <c r="D91" t="inlineStr">
        <is>
          <t>Population</t>
        </is>
      </c>
      <c r="E91" s="14" t="n">
        <v>427419</v>
      </c>
    </row>
    <row r="92">
      <c r="A92" t="inlineStr">
        <is>
          <t>Kandy</t>
        </is>
      </c>
      <c r="B92" t="inlineStr">
        <is>
          <t>Central</t>
        </is>
      </c>
      <c r="C92" t="n">
        <v>2023</v>
      </c>
      <c r="D92" t="inlineStr">
        <is>
          <t>Schools</t>
        </is>
      </c>
      <c r="E92" s="14" t="n">
        <v>274</v>
      </c>
    </row>
    <row r="93">
      <c r="A93" t="inlineStr">
        <is>
          <t>Kandy</t>
        </is>
      </c>
      <c r="B93" t="inlineStr">
        <is>
          <t>Central</t>
        </is>
      </c>
      <c r="C93" t="n">
        <v>2023</v>
      </c>
      <c r="D93" t="inlineStr">
        <is>
          <t>Internet users (%)</t>
        </is>
      </c>
      <c r="E93" s="15" t="n">
        <v>63.1</v>
      </c>
    </row>
    <row r="94">
      <c r="A94" t="inlineStr">
        <is>
          <t>Kandy</t>
        </is>
      </c>
      <c r="B94" t="inlineStr">
        <is>
          <t>Central</t>
        </is>
      </c>
      <c r="C94" t="n">
        <v>2023</v>
      </c>
      <c r="D94" t="inlineStr">
        <is>
          <t>Households</t>
        </is>
      </c>
      <c r="E94" s="14" t="n">
        <v>118067</v>
      </c>
    </row>
    <row r="95">
      <c r="A95" t="inlineStr">
        <is>
          <t>Kandy</t>
        </is>
      </c>
      <c r="B95" t="inlineStr">
        <is>
          <t>Central</t>
        </is>
      </c>
      <c r="C95" t="n">
        <v>2023</v>
      </c>
      <c r="D95" t="inlineStr">
        <is>
          <t>Avg. monthly income (Rs)</t>
        </is>
      </c>
      <c r="E95" s="14" t="n">
        <v>77854</v>
      </c>
    </row>
    <row r="96">
      <c r="A96" t="inlineStr">
        <is>
          <t>Kandy</t>
        </is>
      </c>
      <c r="B96" t="inlineStr">
        <is>
          <t>Central</t>
        </is>
      </c>
      <c r="C96" t="n">
        <v>2024</v>
      </c>
      <c r="D96" t="inlineStr">
        <is>
          <t>Population</t>
        </is>
      </c>
      <c r="E96" s="14" t="n">
        <v>432081</v>
      </c>
    </row>
    <row r="97">
      <c r="A97" t="inlineStr">
        <is>
          <t>Kandy</t>
        </is>
      </c>
      <c r="B97" t="inlineStr">
        <is>
          <t>Central</t>
        </is>
      </c>
      <c r="C97" t="n">
        <v>2024</v>
      </c>
      <c r="D97" t="inlineStr">
        <is>
          <t>Schools</t>
        </is>
      </c>
      <c r="E97" s="14" t="n">
        <v>270</v>
      </c>
    </row>
    <row r="98">
      <c r="A98" t="inlineStr">
        <is>
          <t>Kandy</t>
        </is>
      </c>
      <c r="B98" t="inlineStr">
        <is>
          <t>Central</t>
        </is>
      </c>
      <c r="C98" t="n">
        <v>2024</v>
      </c>
      <c r="D98" t="inlineStr">
        <is>
          <t>Internet users (%)</t>
        </is>
      </c>
      <c r="E98" s="15" t="n">
        <v>68.5</v>
      </c>
    </row>
    <row r="99">
      <c r="A99" t="inlineStr">
        <is>
          <t>Kandy</t>
        </is>
      </c>
      <c r="B99" t="inlineStr">
        <is>
          <t>Central</t>
        </is>
      </c>
      <c r="C99" t="n">
        <v>2024</v>
      </c>
      <c r="D99" t="inlineStr">
        <is>
          <t>Households</t>
        </is>
      </c>
      <c r="E99" s="14" t="n">
        <v>104580</v>
      </c>
    </row>
    <row r="100">
      <c r="A100" t="inlineStr">
        <is>
          <t>Kandy</t>
        </is>
      </c>
      <c r="B100" t="inlineStr">
        <is>
          <t>Central</t>
        </is>
      </c>
      <c r="C100" t="n">
        <v>2024</v>
      </c>
      <c r="D100" t="inlineStr">
        <is>
          <t>Avg. monthly income (Rs)</t>
        </is>
      </c>
      <c r="E100" s="14" t="n">
        <v>81998</v>
      </c>
    </row>
    <row r="101">
      <c r="A101" t="inlineStr">
        <is>
          <t>Kandy</t>
        </is>
      </c>
      <c r="B101" t="inlineStr">
        <is>
          <t>Central</t>
        </is>
      </c>
      <c r="C101" t="n">
        <v>2025</v>
      </c>
      <c r="D101" t="inlineStr">
        <is>
          <t>Population</t>
        </is>
      </c>
      <c r="E101" s="14" t="n">
        <v>436793</v>
      </c>
    </row>
    <row r="102">
      <c r="A102" t="inlineStr">
        <is>
          <t>Kandy</t>
        </is>
      </c>
      <c r="B102" t="inlineStr">
        <is>
          <t>Central</t>
        </is>
      </c>
      <c r="C102" t="n">
        <v>2025</v>
      </c>
      <c r="D102" t="inlineStr">
        <is>
          <t>Schools</t>
        </is>
      </c>
      <c r="E102" s="14" t="n">
        <v>280</v>
      </c>
    </row>
    <row r="103">
      <c r="A103" t="inlineStr">
        <is>
          <t>Kandy</t>
        </is>
      </c>
      <c r="B103" t="inlineStr">
        <is>
          <t>Central</t>
        </is>
      </c>
      <c r="C103" t="n">
        <v>2025</v>
      </c>
      <c r="D103" t="inlineStr">
        <is>
          <t>Internet users (%)</t>
        </is>
      </c>
      <c r="E103" s="15" t="n">
        <v>76.40000000000001</v>
      </c>
    </row>
    <row r="104">
      <c r="A104" t="inlineStr">
        <is>
          <t>Kandy</t>
        </is>
      </c>
      <c r="B104" t="inlineStr">
        <is>
          <t>Central</t>
        </is>
      </c>
      <c r="C104" t="n">
        <v>2025</v>
      </c>
      <c r="D104" t="inlineStr">
        <is>
          <t>Households</t>
        </is>
      </c>
      <c r="E104" s="14" t="n">
        <v>101880</v>
      </c>
    </row>
    <row r="105">
      <c r="A105" t="inlineStr">
        <is>
          <t>Kandy</t>
        </is>
      </c>
      <c r="B105" t="inlineStr">
        <is>
          <t>Central</t>
        </is>
      </c>
      <c r="C105" t="n">
        <v>2025</v>
      </c>
      <c r="D105" t="inlineStr">
        <is>
          <t>Avg. monthly income (Rs)</t>
        </is>
      </c>
      <c r="E105" s="14" t="n">
        <v>83469</v>
      </c>
    </row>
    <row r="106">
      <c r="A106" t="inlineStr">
        <is>
          <t>Matale</t>
        </is>
      </c>
      <c r="B106" t="inlineStr">
        <is>
          <t>Central</t>
        </is>
      </c>
      <c r="C106" t="n">
        <v>2021</v>
      </c>
      <c r="D106" t="inlineStr">
        <is>
          <t>Population</t>
        </is>
      </c>
      <c r="E106" s="14" t="n">
        <v>1981406</v>
      </c>
    </row>
    <row r="107">
      <c r="A107" t="inlineStr">
        <is>
          <t>Matale</t>
        </is>
      </c>
      <c r="B107" t="inlineStr">
        <is>
          <t>Central</t>
        </is>
      </c>
      <c r="C107" t="n">
        <v>2021</v>
      </c>
      <c r="D107" t="inlineStr">
        <is>
          <t>Schools</t>
        </is>
      </c>
      <c r="E107" s="14" t="n">
        <v>383</v>
      </c>
    </row>
    <row r="108">
      <c r="A108" t="inlineStr">
        <is>
          <t>Matale</t>
        </is>
      </c>
      <c r="B108" t="inlineStr">
        <is>
          <t>Central</t>
        </is>
      </c>
      <c r="C108" t="n">
        <v>2021</v>
      </c>
      <c r="D108" t="inlineStr">
        <is>
          <t>Internet users (%)</t>
        </is>
      </c>
      <c r="E108" s="15" t="n">
        <v>49.7</v>
      </c>
    </row>
    <row r="109">
      <c r="A109" t="inlineStr">
        <is>
          <t>Matale</t>
        </is>
      </c>
      <c r="B109" t="inlineStr">
        <is>
          <t>Central</t>
        </is>
      </c>
      <c r="C109" t="n">
        <v>2021</v>
      </c>
      <c r="D109" t="inlineStr">
        <is>
          <t>Households</t>
        </is>
      </c>
      <c r="E109" s="14" t="n">
        <v>497136</v>
      </c>
    </row>
    <row r="110">
      <c r="A110" t="inlineStr">
        <is>
          <t>Matale</t>
        </is>
      </c>
      <c r="B110" t="inlineStr">
        <is>
          <t>Central</t>
        </is>
      </c>
      <c r="C110" t="n">
        <v>2021</v>
      </c>
      <c r="D110" t="inlineStr">
        <is>
          <t>Avg. monthly income (Rs)</t>
        </is>
      </c>
      <c r="E110" s="14" t="n">
        <v>43408</v>
      </c>
    </row>
    <row r="111">
      <c r="A111" t="inlineStr">
        <is>
          <t>Matale</t>
        </is>
      </c>
      <c r="B111" t="inlineStr">
        <is>
          <t>Central</t>
        </is>
      </c>
      <c r="C111" t="n">
        <v>2022</v>
      </c>
      <c r="D111" t="inlineStr">
        <is>
          <t>Population</t>
        </is>
      </c>
      <c r="E111" s="14" t="n">
        <v>1992744</v>
      </c>
    </row>
    <row r="112">
      <c r="A112" t="inlineStr">
        <is>
          <t>Matale</t>
        </is>
      </c>
      <c r="B112" t="inlineStr">
        <is>
          <t>Central</t>
        </is>
      </c>
      <c r="C112" t="n">
        <v>2022</v>
      </c>
      <c r="D112" t="inlineStr">
        <is>
          <t>Schools</t>
        </is>
      </c>
      <c r="E112" s="14" t="n">
        <v>386</v>
      </c>
    </row>
    <row r="113">
      <c r="A113" t="inlineStr">
        <is>
          <t>Matale</t>
        </is>
      </c>
      <c r="B113" t="inlineStr">
        <is>
          <t>Central</t>
        </is>
      </c>
      <c r="C113" t="n">
        <v>2022</v>
      </c>
      <c r="D113" t="inlineStr">
        <is>
          <t>Internet users (%)</t>
        </is>
      </c>
      <c r="E113" s="15" t="n">
        <v>52</v>
      </c>
    </row>
    <row r="114">
      <c r="A114" t="inlineStr">
        <is>
          <t>Matale</t>
        </is>
      </c>
      <c r="B114" t="inlineStr">
        <is>
          <t>Central</t>
        </is>
      </c>
      <c r="C114" t="n">
        <v>2022</v>
      </c>
      <c r="D114" t="inlineStr">
        <is>
          <t>Households</t>
        </is>
      </c>
      <c r="E114" s="14" t="n">
        <v>501498</v>
      </c>
    </row>
    <row r="115">
      <c r="A115" t="inlineStr">
        <is>
          <t>Matale</t>
        </is>
      </c>
      <c r="B115" t="inlineStr">
        <is>
          <t>Central</t>
        </is>
      </c>
      <c r="C115" t="n">
        <v>2022</v>
      </c>
      <c r="D115" t="inlineStr">
        <is>
          <t>Avg. monthly income (Rs)</t>
        </is>
      </c>
      <c r="E115" s="14" t="n">
        <v>45389</v>
      </c>
    </row>
    <row r="116">
      <c r="A116" t="inlineStr">
        <is>
          <t>Matale</t>
        </is>
      </c>
      <c r="B116" t="inlineStr">
        <is>
          <t>Central</t>
        </is>
      </c>
      <c r="C116" t="n">
        <v>2023</v>
      </c>
      <c r="D116" t="inlineStr">
        <is>
          <t>Population</t>
        </is>
      </c>
      <c r="E116" s="14" t="n">
        <v>2004148</v>
      </c>
    </row>
    <row r="117">
      <c r="A117" t="inlineStr">
        <is>
          <t>Matale</t>
        </is>
      </c>
      <c r="B117" t="inlineStr">
        <is>
          <t>Central</t>
        </is>
      </c>
      <c r="C117" t="n">
        <v>2023</v>
      </c>
      <c r="D117" t="inlineStr">
        <is>
          <t>Schools</t>
        </is>
      </c>
      <c r="E117" s="14" t="n">
        <v>397</v>
      </c>
    </row>
    <row r="118">
      <c r="A118" t="inlineStr">
        <is>
          <t>Matale</t>
        </is>
      </c>
      <c r="B118" t="inlineStr">
        <is>
          <t>Central</t>
        </is>
      </c>
      <c r="C118" t="n">
        <v>2023</v>
      </c>
      <c r="D118" t="inlineStr">
        <is>
          <t>Internet users (%)</t>
        </is>
      </c>
      <c r="E118" s="15" t="n">
        <v>55.1</v>
      </c>
    </row>
    <row r="119">
      <c r="A119" t="inlineStr">
        <is>
          <t>Matale</t>
        </is>
      </c>
      <c r="B119" t="inlineStr">
        <is>
          <t>Central</t>
        </is>
      </c>
      <c r="C119" t="n">
        <v>2023</v>
      </c>
      <c r="D119" t="inlineStr">
        <is>
          <t>Households</t>
        </is>
      </c>
      <c r="E119" s="14" t="n">
        <v>486845</v>
      </c>
    </row>
    <row r="120">
      <c r="A120" t="inlineStr">
        <is>
          <t>Matale</t>
        </is>
      </c>
      <c r="B120" t="inlineStr">
        <is>
          <t>Central</t>
        </is>
      </c>
      <c r="C120" t="n">
        <v>2023</v>
      </c>
      <c r="D120" t="inlineStr">
        <is>
          <t>Avg. monthly income (Rs)</t>
        </is>
      </c>
      <c r="E120" s="14" t="n">
        <v>46728</v>
      </c>
    </row>
    <row r="121">
      <c r="A121" t="inlineStr">
        <is>
          <t>Matale</t>
        </is>
      </c>
      <c r="B121" t="inlineStr">
        <is>
          <t>Central</t>
        </is>
      </c>
      <c r="C121" t="n">
        <v>2024</v>
      </c>
      <c r="D121" t="inlineStr">
        <is>
          <t>Population</t>
        </is>
      </c>
      <c r="E121" s="14" t="n">
        <v>2015617</v>
      </c>
    </row>
    <row r="122">
      <c r="A122" t="inlineStr">
        <is>
          <t>Matale</t>
        </is>
      </c>
      <c r="B122" t="inlineStr">
        <is>
          <t>Central</t>
        </is>
      </c>
      <c r="C122" t="n">
        <v>2024</v>
      </c>
      <c r="D122" t="inlineStr">
        <is>
          <t>Schools</t>
        </is>
      </c>
      <c r="E122" s="14" t="n">
        <v>398</v>
      </c>
    </row>
    <row r="123">
      <c r="A123" t="inlineStr">
        <is>
          <t>Matale</t>
        </is>
      </c>
      <c r="B123" t="inlineStr">
        <is>
          <t>Central</t>
        </is>
      </c>
      <c r="C123" t="n">
        <v>2024</v>
      </c>
      <c r="D123" t="inlineStr">
        <is>
          <t>Internet users (%)</t>
        </is>
      </c>
      <c r="E123" s="15" t="n">
        <v>57</v>
      </c>
    </row>
    <row r="124">
      <c r="A124" t="inlineStr">
        <is>
          <t>Matale</t>
        </is>
      </c>
      <c r="B124" t="inlineStr">
        <is>
          <t>Central</t>
        </is>
      </c>
      <c r="C124" t="n">
        <v>2024</v>
      </c>
      <c r="D124" t="inlineStr">
        <is>
          <t>Households</t>
        </is>
      </c>
      <c r="E124" s="14" t="n">
        <v>531872</v>
      </c>
    </row>
    <row r="125">
      <c r="A125" t="inlineStr">
        <is>
          <t>Matale</t>
        </is>
      </c>
      <c r="B125" t="inlineStr">
        <is>
          <t>Central</t>
        </is>
      </c>
      <c r="C125" t="n">
        <v>2024</v>
      </c>
      <c r="D125" t="inlineStr">
        <is>
          <t>Avg. monthly income (Rs)</t>
        </is>
      </c>
      <c r="E125" s="14" t="n">
        <v>56312</v>
      </c>
    </row>
    <row r="126">
      <c r="A126" t="inlineStr">
        <is>
          <t>Matale</t>
        </is>
      </c>
      <c r="B126" t="inlineStr">
        <is>
          <t>Central</t>
        </is>
      </c>
      <c r="C126" t="n">
        <v>2025</v>
      </c>
      <c r="D126" t="inlineStr">
        <is>
          <t>Population</t>
        </is>
      </c>
      <c r="E126" s="14" t="n">
        <v>2027152</v>
      </c>
    </row>
    <row r="127">
      <c r="A127" t="inlineStr">
        <is>
          <t>Matale</t>
        </is>
      </c>
      <c r="B127" t="inlineStr">
        <is>
          <t>Central</t>
        </is>
      </c>
      <c r="C127" t="n">
        <v>2025</v>
      </c>
      <c r="D127" t="inlineStr">
        <is>
          <t>Schools</t>
        </is>
      </c>
      <c r="E127" s="14" t="n">
        <v>379</v>
      </c>
    </row>
    <row r="128">
      <c r="A128" t="inlineStr">
        <is>
          <t>Matale</t>
        </is>
      </c>
      <c r="B128" t="inlineStr">
        <is>
          <t>Central</t>
        </is>
      </c>
      <c r="C128" t="n">
        <v>2025</v>
      </c>
      <c r="D128" t="inlineStr">
        <is>
          <t>Internet users (%)</t>
        </is>
      </c>
      <c r="E128" s="15" t="n">
        <v>64.59999999999999</v>
      </c>
    </row>
    <row r="129">
      <c r="A129" t="inlineStr">
        <is>
          <t>Matale</t>
        </is>
      </c>
      <c r="B129" t="inlineStr">
        <is>
          <t>Central</t>
        </is>
      </c>
      <c r="C129" t="n">
        <v>2025</v>
      </c>
      <c r="D129" t="inlineStr">
        <is>
          <t>Households</t>
        </is>
      </c>
      <c r="E129" s="14" t="n">
        <v>479992</v>
      </c>
    </row>
    <row r="130">
      <c r="A130" t="inlineStr">
        <is>
          <t>Matale</t>
        </is>
      </c>
      <c r="B130" t="inlineStr">
        <is>
          <t>Central</t>
        </is>
      </c>
      <c r="C130" t="n">
        <v>2025</v>
      </c>
      <c r="D130" t="inlineStr">
        <is>
          <t>Avg. monthly income (Rs)</t>
        </is>
      </c>
      <c r="E130" s="14" t="n">
        <v>61059</v>
      </c>
    </row>
    <row r="131">
      <c r="A131" t="inlineStr">
        <is>
          <t>Nuwara Eliya</t>
        </is>
      </c>
      <c r="B131" t="inlineStr">
        <is>
          <t>Central</t>
        </is>
      </c>
      <c r="C131" t="n">
        <v>2021</v>
      </c>
      <c r="D131" t="inlineStr">
        <is>
          <t>Population</t>
        </is>
      </c>
      <c r="E131" s="14" t="n">
        <v>1490186</v>
      </c>
    </row>
    <row r="132">
      <c r="A132" t="inlineStr">
        <is>
          <t>Nuwara Eliya</t>
        </is>
      </c>
      <c r="B132" t="inlineStr">
        <is>
          <t>Central</t>
        </is>
      </c>
      <c r="C132" t="n">
        <v>2021</v>
      </c>
      <c r="D132" t="inlineStr">
        <is>
          <t>Schools</t>
        </is>
      </c>
      <c r="E132" s="14" t="n">
        <v>338</v>
      </c>
    </row>
    <row r="133">
      <c r="A133" t="inlineStr">
        <is>
          <t>Nuwara Eliya</t>
        </is>
      </c>
      <c r="B133" t="inlineStr">
        <is>
          <t>Central</t>
        </is>
      </c>
      <c r="C133" t="n">
        <v>2021</v>
      </c>
      <c r="D133" t="inlineStr">
        <is>
          <t>Internet users (%)</t>
        </is>
      </c>
      <c r="E133" s="15" t="n">
        <v>38.2</v>
      </c>
    </row>
    <row r="134">
      <c r="A134" t="inlineStr">
        <is>
          <t>Nuwara Eliya</t>
        </is>
      </c>
      <c r="B134" t="inlineStr">
        <is>
          <t>Central</t>
        </is>
      </c>
      <c r="C134" t="n">
        <v>2021</v>
      </c>
      <c r="D134" t="inlineStr">
        <is>
          <t>Households</t>
        </is>
      </c>
      <c r="E134" s="14" t="n">
        <v>380146</v>
      </c>
    </row>
    <row r="135">
      <c r="A135" t="inlineStr">
        <is>
          <t>Nuwara Eliya</t>
        </is>
      </c>
      <c r="B135" t="inlineStr">
        <is>
          <t>Central</t>
        </is>
      </c>
      <c r="C135" t="n">
        <v>2021</v>
      </c>
      <c r="D135" t="inlineStr">
        <is>
          <t>Avg. monthly income (Rs)</t>
        </is>
      </c>
      <c r="E135" s="14" t="n">
        <v>51742</v>
      </c>
    </row>
    <row r="136">
      <c r="A136" t="inlineStr">
        <is>
          <t>Nuwara Eliya</t>
        </is>
      </c>
      <c r="B136" t="inlineStr">
        <is>
          <t>Central</t>
        </is>
      </c>
      <c r="C136" t="n">
        <v>2022</v>
      </c>
      <c r="D136" t="inlineStr">
        <is>
          <t>Population</t>
        </is>
      </c>
      <c r="E136" s="14" t="n">
        <v>1503902</v>
      </c>
    </row>
    <row r="137">
      <c r="A137" t="inlineStr">
        <is>
          <t>Nuwara Eliya</t>
        </is>
      </c>
      <c r="B137" t="inlineStr">
        <is>
          <t>Central</t>
        </is>
      </c>
      <c r="C137" t="n">
        <v>2022</v>
      </c>
      <c r="D137" t="inlineStr">
        <is>
          <t>Schools</t>
        </is>
      </c>
      <c r="E137" s="14" t="n">
        <v>338</v>
      </c>
    </row>
    <row r="138">
      <c r="A138" t="inlineStr">
        <is>
          <t>Nuwara Eliya</t>
        </is>
      </c>
      <c r="B138" t="inlineStr">
        <is>
          <t>Central</t>
        </is>
      </c>
      <c r="C138" t="n">
        <v>2022</v>
      </c>
      <c r="D138" t="inlineStr">
        <is>
          <t>Internet users (%)</t>
        </is>
      </c>
      <c r="E138" s="15" t="n">
        <v>42.5</v>
      </c>
    </row>
    <row r="139">
      <c r="A139" t="inlineStr">
        <is>
          <t>Nuwara Eliya</t>
        </is>
      </c>
      <c r="B139" t="inlineStr">
        <is>
          <t>Central</t>
        </is>
      </c>
      <c r="C139" t="n">
        <v>2022</v>
      </c>
      <c r="D139" t="inlineStr">
        <is>
          <t>Households</t>
        </is>
      </c>
      <c r="E139" s="14" t="n">
        <v>380808</v>
      </c>
    </row>
    <row r="140">
      <c r="A140" t="inlineStr">
        <is>
          <t>Nuwara Eliya</t>
        </is>
      </c>
      <c r="B140" t="inlineStr">
        <is>
          <t>Central</t>
        </is>
      </c>
      <c r="C140" t="n">
        <v>2022</v>
      </c>
      <c r="D140" t="inlineStr">
        <is>
          <t>Avg. monthly income (Rs)</t>
        </is>
      </c>
      <c r="E140" s="14" t="n">
        <v>53646</v>
      </c>
    </row>
    <row r="141">
      <c r="A141" t="inlineStr">
        <is>
          <t>Nuwara Eliya</t>
        </is>
      </c>
      <c r="B141" t="inlineStr">
        <is>
          <t>Central</t>
        </is>
      </c>
      <c r="C141" t="n">
        <v>2023</v>
      </c>
      <c r="D141" t="inlineStr">
        <is>
          <t>Population</t>
        </is>
      </c>
      <c r="E141" s="14" t="n">
        <v>1517744</v>
      </c>
    </row>
    <row r="142">
      <c r="A142" t="inlineStr">
        <is>
          <t>Nuwara Eliya</t>
        </is>
      </c>
      <c r="B142" t="inlineStr">
        <is>
          <t>Central</t>
        </is>
      </c>
      <c r="C142" t="n">
        <v>2023</v>
      </c>
      <c r="D142" t="inlineStr">
        <is>
          <t>Schools</t>
        </is>
      </c>
      <c r="E142" s="14" t="n">
        <v>332</v>
      </c>
    </row>
    <row r="143">
      <c r="A143" t="inlineStr">
        <is>
          <t>Nuwara Eliya</t>
        </is>
      </c>
      <c r="B143" t="inlineStr">
        <is>
          <t>Central</t>
        </is>
      </c>
      <c r="C143" t="n">
        <v>2023</v>
      </c>
      <c r="D143" t="inlineStr">
        <is>
          <t>Internet users (%)</t>
        </is>
      </c>
      <c r="E143" s="15" t="n">
        <v>45</v>
      </c>
    </row>
    <row r="144">
      <c r="A144" t="inlineStr">
        <is>
          <t>Nuwara Eliya</t>
        </is>
      </c>
      <c r="B144" t="inlineStr">
        <is>
          <t>Central</t>
        </is>
      </c>
      <c r="C144" t="n">
        <v>2023</v>
      </c>
      <c r="D144" t="inlineStr">
        <is>
          <t>Households</t>
        </is>
      </c>
      <c r="E144" s="14" t="n">
        <v>385989</v>
      </c>
    </row>
    <row r="145">
      <c r="A145" t="inlineStr">
        <is>
          <t>Nuwara Eliya</t>
        </is>
      </c>
      <c r="B145" t="inlineStr">
        <is>
          <t>Central</t>
        </is>
      </c>
      <c r="C145" t="n">
        <v>2023</v>
      </c>
      <c r="D145" t="inlineStr">
        <is>
          <t>Avg. monthly income (Rs)</t>
        </is>
      </c>
      <c r="E145" s="14" t="n">
        <v>59145</v>
      </c>
    </row>
    <row r="146">
      <c r="A146" t="inlineStr">
        <is>
          <t>Nuwara Eliya</t>
        </is>
      </c>
      <c r="B146" t="inlineStr">
        <is>
          <t>Central</t>
        </is>
      </c>
      <c r="C146" t="n">
        <v>2024</v>
      </c>
      <c r="D146" t="inlineStr">
        <is>
          <t>Population</t>
        </is>
      </c>
      <c r="E146" s="14" t="n">
        <v>1531714</v>
      </c>
    </row>
    <row r="147">
      <c r="A147" t="inlineStr">
        <is>
          <t>Nuwara Eliya</t>
        </is>
      </c>
      <c r="B147" t="inlineStr">
        <is>
          <t>Central</t>
        </is>
      </c>
      <c r="C147" t="n">
        <v>2024</v>
      </c>
      <c r="D147" t="inlineStr">
        <is>
          <t>Schools</t>
        </is>
      </c>
      <c r="E147" s="14" t="n">
        <v>338</v>
      </c>
    </row>
    <row r="148">
      <c r="A148" t="inlineStr">
        <is>
          <t>Nuwara Eliya</t>
        </is>
      </c>
      <c r="B148" t="inlineStr">
        <is>
          <t>Central</t>
        </is>
      </c>
      <c r="C148" t="n">
        <v>2024</v>
      </c>
      <c r="D148" t="inlineStr">
        <is>
          <t>Internet users (%)</t>
        </is>
      </c>
      <c r="E148" s="15" t="n">
        <v>45.8</v>
      </c>
    </row>
    <row r="149">
      <c r="A149" t="inlineStr">
        <is>
          <t>Nuwara Eliya</t>
        </is>
      </c>
      <c r="B149" t="inlineStr">
        <is>
          <t>Central</t>
        </is>
      </c>
      <c r="C149" t="n">
        <v>2024</v>
      </c>
      <c r="D149" t="inlineStr">
        <is>
          <t>Households</t>
        </is>
      </c>
      <c r="E149" s="14" t="n">
        <v>417008</v>
      </c>
    </row>
    <row r="150">
      <c r="A150" t="inlineStr">
        <is>
          <t>Nuwara Eliya</t>
        </is>
      </c>
      <c r="B150" t="inlineStr">
        <is>
          <t>Central</t>
        </is>
      </c>
      <c r="C150" t="n">
        <v>2024</v>
      </c>
      <c r="D150" t="inlineStr">
        <is>
          <t>Avg. monthly income (Rs)</t>
        </is>
      </c>
      <c r="E150" s="14" t="n">
        <v>69944</v>
      </c>
    </row>
    <row r="151">
      <c r="A151" t="inlineStr">
        <is>
          <t>Nuwara Eliya</t>
        </is>
      </c>
      <c r="B151" t="inlineStr">
        <is>
          <t>Central</t>
        </is>
      </c>
      <c r="C151" t="n">
        <v>2025</v>
      </c>
      <c r="D151" t="inlineStr">
        <is>
          <t>Population</t>
        </is>
      </c>
      <c r="E151" s="14" t="n">
        <v>1545812</v>
      </c>
    </row>
    <row r="152">
      <c r="A152" t="inlineStr">
        <is>
          <t>Nuwara Eliya</t>
        </is>
      </c>
      <c r="B152" t="inlineStr">
        <is>
          <t>Central</t>
        </is>
      </c>
      <c r="C152" t="n">
        <v>2025</v>
      </c>
      <c r="D152" t="inlineStr">
        <is>
          <t>Schools</t>
        </is>
      </c>
      <c r="E152" s="14" t="n">
        <v>342</v>
      </c>
    </row>
    <row r="153">
      <c r="A153" t="inlineStr">
        <is>
          <t>Nuwara Eliya</t>
        </is>
      </c>
      <c r="B153" t="inlineStr">
        <is>
          <t>Central</t>
        </is>
      </c>
      <c r="C153" t="n">
        <v>2025</v>
      </c>
      <c r="D153" t="inlineStr">
        <is>
          <t>Internet users (%)</t>
        </is>
      </c>
      <c r="E153" s="15" t="n">
        <v>52.4</v>
      </c>
    </row>
    <row r="154">
      <c r="A154" t="inlineStr">
        <is>
          <t>Nuwara Eliya</t>
        </is>
      </c>
      <c r="B154" t="inlineStr">
        <is>
          <t>Central</t>
        </is>
      </c>
      <c r="C154" t="n">
        <v>2025</v>
      </c>
      <c r="D154" t="inlineStr">
        <is>
          <t>Households</t>
        </is>
      </c>
      <c r="E154" s="14" t="n">
        <v>383440</v>
      </c>
    </row>
    <row r="155">
      <c r="A155" t="inlineStr">
        <is>
          <t>Nuwara Eliya</t>
        </is>
      </c>
      <c r="B155" t="inlineStr">
        <is>
          <t>Central</t>
        </is>
      </c>
      <c r="C155" t="n">
        <v>2025</v>
      </c>
      <c r="D155" t="inlineStr">
        <is>
          <t>Avg. monthly income (Rs)</t>
        </is>
      </c>
      <c r="E155" s="14" t="n">
        <v>59246</v>
      </c>
    </row>
    <row r="156">
      <c r="A156" t="inlineStr">
        <is>
          <t>Galle</t>
        </is>
      </c>
      <c r="B156" t="inlineStr">
        <is>
          <t>Southern</t>
        </is>
      </c>
      <c r="C156" t="n">
        <v>2021</v>
      </c>
      <c r="D156" t="inlineStr">
        <is>
          <t>Population</t>
        </is>
      </c>
      <c r="E156" s="14" t="n">
        <v>2334217</v>
      </c>
    </row>
    <row r="157">
      <c r="A157" t="inlineStr">
        <is>
          <t>Galle</t>
        </is>
      </c>
      <c r="B157" t="inlineStr">
        <is>
          <t>Southern</t>
        </is>
      </c>
      <c r="C157" t="n">
        <v>2021</v>
      </c>
      <c r="D157" t="inlineStr">
        <is>
          <t>Schools</t>
        </is>
      </c>
      <c r="E157" s="14" t="n">
        <v>857</v>
      </c>
    </row>
    <row r="158">
      <c r="A158" t="inlineStr">
        <is>
          <t>Galle</t>
        </is>
      </c>
      <c r="B158" t="inlineStr">
        <is>
          <t>Southern</t>
        </is>
      </c>
      <c r="C158" t="n">
        <v>2021</v>
      </c>
      <c r="D158" t="inlineStr">
        <is>
          <t>Internet users (%)</t>
        </is>
      </c>
      <c r="E158" s="15" t="n">
        <v>30.9</v>
      </c>
    </row>
    <row r="159">
      <c r="A159" t="inlineStr">
        <is>
          <t>Galle</t>
        </is>
      </c>
      <c r="B159" t="inlineStr">
        <is>
          <t>Southern</t>
        </is>
      </c>
      <c r="C159" t="n">
        <v>2021</v>
      </c>
      <c r="D159" t="inlineStr">
        <is>
          <t>Households</t>
        </is>
      </c>
      <c r="E159" s="14" t="n">
        <v>630611</v>
      </c>
    </row>
    <row r="160">
      <c r="A160" t="inlineStr">
        <is>
          <t>Galle</t>
        </is>
      </c>
      <c r="B160" t="inlineStr">
        <is>
          <t>Southern</t>
        </is>
      </c>
      <c r="C160" t="n">
        <v>2021</v>
      </c>
      <c r="D160" t="inlineStr">
        <is>
          <t>Avg. monthly income (Rs)</t>
        </is>
      </c>
      <c r="E160" s="14" t="n">
        <v>60869</v>
      </c>
    </row>
    <row r="161">
      <c r="A161" t="inlineStr">
        <is>
          <t>Galle</t>
        </is>
      </c>
      <c r="B161" t="inlineStr">
        <is>
          <t>Southern</t>
        </is>
      </c>
      <c r="C161" t="n">
        <v>2022</v>
      </c>
      <c r="D161" t="inlineStr">
        <is>
          <t>Population</t>
        </is>
      </c>
      <c r="E161" s="14" t="n">
        <v>2362662</v>
      </c>
    </row>
    <row r="162">
      <c r="A162" t="inlineStr">
        <is>
          <t>Galle</t>
        </is>
      </c>
      <c r="B162" t="inlineStr">
        <is>
          <t>Southern</t>
        </is>
      </c>
      <c r="C162" t="n">
        <v>2022</v>
      </c>
      <c r="D162" t="inlineStr">
        <is>
          <t>Schools</t>
        </is>
      </c>
      <c r="E162" s="14" t="n">
        <v>863</v>
      </c>
    </row>
    <row r="163">
      <c r="A163" t="inlineStr">
        <is>
          <t>Galle</t>
        </is>
      </c>
      <c r="B163" t="inlineStr">
        <is>
          <t>Southern</t>
        </is>
      </c>
      <c r="C163" t="n">
        <v>2022</v>
      </c>
      <c r="D163" t="inlineStr">
        <is>
          <t>Internet users (%)</t>
        </is>
      </c>
      <c r="E163" s="15" t="n">
        <v>32.7</v>
      </c>
    </row>
    <row r="164">
      <c r="A164" t="inlineStr">
        <is>
          <t>Galle</t>
        </is>
      </c>
      <c r="B164" t="inlineStr">
        <is>
          <t>Southern</t>
        </is>
      </c>
      <c r="C164" t="n">
        <v>2022</v>
      </c>
      <c r="D164" t="inlineStr">
        <is>
          <t>Households</t>
        </is>
      </c>
      <c r="E164" s="14" t="n">
        <v>586080</v>
      </c>
    </row>
    <row r="165">
      <c r="A165" t="inlineStr">
        <is>
          <t>Galle</t>
        </is>
      </c>
      <c r="B165" t="inlineStr">
        <is>
          <t>Southern</t>
        </is>
      </c>
      <c r="C165" t="n">
        <v>2022</v>
      </c>
      <c r="D165" t="inlineStr">
        <is>
          <t>Avg. monthly income (Rs)</t>
        </is>
      </c>
      <c r="E165" s="14" t="n">
        <v>65156</v>
      </c>
    </row>
    <row r="166">
      <c r="A166" t="inlineStr">
        <is>
          <t>Galle</t>
        </is>
      </c>
      <c r="B166" t="inlineStr">
        <is>
          <t>Southern</t>
        </is>
      </c>
      <c r="C166" t="n">
        <v>2023</v>
      </c>
      <c r="D166" t="inlineStr">
        <is>
          <t>Population</t>
        </is>
      </c>
      <c r="E166" s="14" t="n">
        <v>2391455</v>
      </c>
    </row>
    <row r="167">
      <c r="A167" t="inlineStr">
        <is>
          <t>Galle</t>
        </is>
      </c>
      <c r="B167" t="inlineStr">
        <is>
          <t>Southern</t>
        </is>
      </c>
      <c r="C167" t="n">
        <v>2023</v>
      </c>
      <c r="D167" t="inlineStr">
        <is>
          <t>Schools</t>
        </is>
      </c>
      <c r="E167" s="14" t="n">
        <v>865</v>
      </c>
    </row>
    <row r="168">
      <c r="A168" t="inlineStr">
        <is>
          <t>Galle</t>
        </is>
      </c>
      <c r="B168" t="inlineStr">
        <is>
          <t>Southern</t>
        </is>
      </c>
      <c r="C168" t="n">
        <v>2023</v>
      </c>
      <c r="D168" t="inlineStr">
        <is>
          <t>Internet users (%)</t>
        </is>
      </c>
      <c r="E168" s="15" t="n">
        <v>36.7</v>
      </c>
    </row>
    <row r="169">
      <c r="A169" t="inlineStr">
        <is>
          <t>Galle</t>
        </is>
      </c>
      <c r="B169" t="inlineStr">
        <is>
          <t>Southern</t>
        </is>
      </c>
      <c r="C169" t="n">
        <v>2023</v>
      </c>
      <c r="D169" t="inlineStr">
        <is>
          <t>Households</t>
        </is>
      </c>
      <c r="E169" s="14" t="n">
        <v>661562</v>
      </c>
    </row>
    <row r="170">
      <c r="A170" t="inlineStr">
        <is>
          <t>Galle</t>
        </is>
      </c>
      <c r="B170" t="inlineStr">
        <is>
          <t>Southern</t>
        </is>
      </c>
      <c r="C170" t="n">
        <v>2023</v>
      </c>
      <c r="D170" t="inlineStr">
        <is>
          <t>Avg. monthly income (Rs)</t>
        </is>
      </c>
      <c r="E170" s="14" t="n">
        <v>70129</v>
      </c>
    </row>
    <row r="171">
      <c r="A171" t="inlineStr">
        <is>
          <t>Galle</t>
        </is>
      </c>
      <c r="B171" t="inlineStr">
        <is>
          <t>Southern</t>
        </is>
      </c>
      <c r="C171" t="n">
        <v>2024</v>
      </c>
      <c r="D171" t="inlineStr">
        <is>
          <t>Population</t>
        </is>
      </c>
      <c r="E171" s="14" t="n">
        <v>2420599</v>
      </c>
    </row>
    <row r="172">
      <c r="A172" t="inlineStr">
        <is>
          <t>Galle</t>
        </is>
      </c>
      <c r="B172" t="inlineStr">
        <is>
          <t>Southern</t>
        </is>
      </c>
      <c r="C172" t="n">
        <v>2024</v>
      </c>
      <c r="D172" t="inlineStr">
        <is>
          <t>Schools</t>
        </is>
      </c>
      <c r="E172" s="14" t="n">
        <v>857</v>
      </c>
    </row>
    <row r="173">
      <c r="A173" t="inlineStr">
        <is>
          <t>Galle</t>
        </is>
      </c>
      <c r="B173" t="inlineStr">
        <is>
          <t>Southern</t>
        </is>
      </c>
      <c r="C173" t="n">
        <v>2024</v>
      </c>
      <c r="D173" t="inlineStr">
        <is>
          <t>Internet users (%)</t>
        </is>
      </c>
      <c r="E173" s="15" t="n">
        <v>41.7</v>
      </c>
    </row>
    <row r="174">
      <c r="A174" t="inlineStr">
        <is>
          <t>Galle</t>
        </is>
      </c>
      <c r="B174" t="inlineStr">
        <is>
          <t>Southern</t>
        </is>
      </c>
      <c r="C174" t="n">
        <v>2024</v>
      </c>
      <c r="D174" t="inlineStr">
        <is>
          <t>Households</t>
        </is>
      </c>
      <c r="E174" s="14" t="n">
        <v>599439</v>
      </c>
    </row>
    <row r="175">
      <c r="A175" t="inlineStr">
        <is>
          <t>Galle</t>
        </is>
      </c>
      <c r="B175" t="inlineStr">
        <is>
          <t>Southern</t>
        </is>
      </c>
      <c r="C175" t="n">
        <v>2024</v>
      </c>
      <c r="D175" t="inlineStr">
        <is>
          <t>Avg. monthly income (Rs)</t>
        </is>
      </c>
      <c r="E175" s="14" t="n">
        <v>78928</v>
      </c>
    </row>
    <row r="176">
      <c r="A176" t="inlineStr">
        <is>
          <t>Galle</t>
        </is>
      </c>
      <c r="B176" t="inlineStr">
        <is>
          <t>Southern</t>
        </is>
      </c>
      <c r="C176" t="n">
        <v>2025</v>
      </c>
      <c r="D176" t="inlineStr">
        <is>
          <t>Population</t>
        </is>
      </c>
      <c r="E176" s="14" t="n">
        <v>2450097</v>
      </c>
    </row>
    <row r="177">
      <c r="A177" t="inlineStr">
        <is>
          <t>Galle</t>
        </is>
      </c>
      <c r="B177" t="inlineStr">
        <is>
          <t>Southern</t>
        </is>
      </c>
      <c r="C177" t="n">
        <v>2025</v>
      </c>
      <c r="D177" t="inlineStr">
        <is>
          <t>Schools</t>
        </is>
      </c>
      <c r="E177" s="14" t="n">
        <v>845</v>
      </c>
    </row>
    <row r="178">
      <c r="A178" t="inlineStr">
        <is>
          <t>Galle</t>
        </is>
      </c>
      <c r="B178" t="inlineStr">
        <is>
          <t>Southern</t>
        </is>
      </c>
      <c r="C178" t="n">
        <v>2025</v>
      </c>
      <c r="D178" t="inlineStr">
        <is>
          <t>Internet users (%)</t>
        </is>
      </c>
      <c r="E178" s="15" t="n">
        <v>38.1</v>
      </c>
    </row>
    <row r="179">
      <c r="A179" t="inlineStr">
        <is>
          <t>Galle</t>
        </is>
      </c>
      <c r="B179" t="inlineStr">
        <is>
          <t>Southern</t>
        </is>
      </c>
      <c r="C179" t="n">
        <v>2025</v>
      </c>
      <c r="D179" t="inlineStr">
        <is>
          <t>Households</t>
        </is>
      </c>
      <c r="E179" s="14" t="n">
        <v>666539</v>
      </c>
    </row>
    <row r="180">
      <c r="A180" t="inlineStr">
        <is>
          <t>Galle</t>
        </is>
      </c>
      <c r="B180" t="inlineStr">
        <is>
          <t>Southern</t>
        </is>
      </c>
      <c r="C180" t="n">
        <v>2025</v>
      </c>
      <c r="D180" t="inlineStr">
        <is>
          <t>Avg. monthly income (Rs)</t>
        </is>
      </c>
      <c r="E180" s="14" t="n">
        <v>69206</v>
      </c>
    </row>
    <row r="181">
      <c r="A181" t="inlineStr">
        <is>
          <t>Matara</t>
        </is>
      </c>
      <c r="B181" t="inlineStr">
        <is>
          <t>Southern</t>
        </is>
      </c>
      <c r="C181" t="n">
        <v>2021</v>
      </c>
      <c r="D181" t="inlineStr">
        <is>
          <t>Population</t>
        </is>
      </c>
      <c r="E181" s="14" t="n">
        <v>2084365</v>
      </c>
    </row>
    <row r="182">
      <c r="A182" t="inlineStr">
        <is>
          <t>Matara</t>
        </is>
      </c>
      <c r="B182" t="inlineStr">
        <is>
          <t>Southern</t>
        </is>
      </c>
      <c r="C182" t="n">
        <v>2021</v>
      </c>
      <c r="D182" t="inlineStr">
        <is>
          <t>Schools</t>
        </is>
      </c>
      <c r="E182" s="14" t="n">
        <v>623</v>
      </c>
    </row>
    <row r="183">
      <c r="A183" t="inlineStr">
        <is>
          <t>Matara</t>
        </is>
      </c>
      <c r="B183" t="inlineStr">
        <is>
          <t>Southern</t>
        </is>
      </c>
      <c r="C183" t="n">
        <v>2021</v>
      </c>
      <c r="D183" t="inlineStr">
        <is>
          <t>Internet users (%)</t>
        </is>
      </c>
      <c r="E183" s="15" t="n">
        <v>32.6</v>
      </c>
    </row>
    <row r="184">
      <c r="A184" t="inlineStr">
        <is>
          <t>Matara</t>
        </is>
      </c>
      <c r="B184" t="inlineStr">
        <is>
          <t>Southern</t>
        </is>
      </c>
      <c r="C184" t="n">
        <v>2021</v>
      </c>
      <c r="D184" t="inlineStr">
        <is>
          <t>Households</t>
        </is>
      </c>
      <c r="E184" s="14" t="n">
        <v>535559</v>
      </c>
    </row>
    <row r="185">
      <c r="A185" t="inlineStr">
        <is>
          <t>Matara</t>
        </is>
      </c>
      <c r="B185" t="inlineStr">
        <is>
          <t>Southern</t>
        </is>
      </c>
      <c r="C185" t="n">
        <v>2021</v>
      </c>
      <c r="D185" t="inlineStr">
        <is>
          <t>Avg. monthly income (Rs)</t>
        </is>
      </c>
      <c r="E185" s="14" t="n">
        <v>93597</v>
      </c>
    </row>
    <row r="186">
      <c r="A186" t="inlineStr">
        <is>
          <t>Matara</t>
        </is>
      </c>
      <c r="B186" t="inlineStr">
        <is>
          <t>Southern</t>
        </is>
      </c>
      <c r="C186" t="n">
        <v>2022</v>
      </c>
      <c r="D186" t="inlineStr">
        <is>
          <t>Population</t>
        </is>
      </c>
      <c r="E186" s="14" t="n">
        <v>2106755</v>
      </c>
    </row>
    <row r="187">
      <c r="A187" t="inlineStr">
        <is>
          <t>Matara</t>
        </is>
      </c>
      <c r="B187" t="inlineStr">
        <is>
          <t>Southern</t>
        </is>
      </c>
      <c r="C187" t="n">
        <v>2022</v>
      </c>
      <c r="D187" t="inlineStr">
        <is>
          <t>Schools</t>
        </is>
      </c>
      <c r="E187" s="14" t="n">
        <v>625</v>
      </c>
    </row>
    <row r="188">
      <c r="A188" t="inlineStr">
        <is>
          <t>Matara</t>
        </is>
      </c>
      <c r="B188" t="inlineStr">
        <is>
          <t>Southern</t>
        </is>
      </c>
      <c r="C188" t="n">
        <v>2022</v>
      </c>
      <c r="D188" t="inlineStr">
        <is>
          <t>Internet users (%)</t>
        </is>
      </c>
      <c r="E188" s="15" t="n">
        <v>35.7</v>
      </c>
    </row>
    <row r="189">
      <c r="A189" t="inlineStr">
        <is>
          <t>Matara</t>
        </is>
      </c>
      <c r="B189" t="inlineStr">
        <is>
          <t>Southern</t>
        </is>
      </c>
      <c r="C189" t="n">
        <v>2022</v>
      </c>
      <c r="D189" t="inlineStr">
        <is>
          <t>Households</t>
        </is>
      </c>
      <c r="E189" s="14" t="n">
        <v>559275</v>
      </c>
    </row>
    <row r="190">
      <c r="A190" t="inlineStr">
        <is>
          <t>Matara</t>
        </is>
      </c>
      <c r="B190" t="inlineStr">
        <is>
          <t>Southern</t>
        </is>
      </c>
      <c r="C190" t="n">
        <v>2022</v>
      </c>
      <c r="D190" t="inlineStr">
        <is>
          <t>Avg. monthly income (Rs)</t>
        </is>
      </c>
      <c r="E190" s="14" t="n">
        <v>98768</v>
      </c>
    </row>
    <row r="191">
      <c r="A191" t="inlineStr">
        <is>
          <t>Matara</t>
        </is>
      </c>
      <c r="B191" t="inlineStr">
        <is>
          <t>Southern</t>
        </is>
      </c>
      <c r="C191" t="n">
        <v>2023</v>
      </c>
      <c r="D191" t="inlineStr">
        <is>
          <t>Population</t>
        </is>
      </c>
      <c r="E191" s="14" t="n">
        <v>2129385</v>
      </c>
    </row>
    <row r="192">
      <c r="A192" t="inlineStr">
        <is>
          <t>Matara</t>
        </is>
      </c>
      <c r="B192" t="inlineStr">
        <is>
          <t>Southern</t>
        </is>
      </c>
      <c r="C192" t="n">
        <v>2023</v>
      </c>
      <c r="D192" t="inlineStr">
        <is>
          <t>Schools</t>
        </is>
      </c>
      <c r="E192" s="14" t="n">
        <v>623</v>
      </c>
    </row>
    <row r="193">
      <c r="A193" t="inlineStr">
        <is>
          <t>Matara</t>
        </is>
      </c>
      <c r="B193" t="inlineStr">
        <is>
          <t>Southern</t>
        </is>
      </c>
      <c r="C193" t="n">
        <v>2023</v>
      </c>
      <c r="D193" t="inlineStr">
        <is>
          <t>Internet users (%)</t>
        </is>
      </c>
      <c r="E193" s="15" t="n">
        <v>40.2</v>
      </c>
    </row>
    <row r="194">
      <c r="A194" t="inlineStr">
        <is>
          <t>Matara</t>
        </is>
      </c>
      <c r="B194" t="inlineStr">
        <is>
          <t>Southern</t>
        </is>
      </c>
      <c r="C194" t="n">
        <v>2023</v>
      </c>
      <c r="D194" t="inlineStr">
        <is>
          <t>Households</t>
        </is>
      </c>
      <c r="E194" s="14" t="n">
        <v>538940</v>
      </c>
    </row>
    <row r="195">
      <c r="A195" t="inlineStr">
        <is>
          <t>Matara</t>
        </is>
      </c>
      <c r="B195" t="inlineStr">
        <is>
          <t>Southern</t>
        </is>
      </c>
      <c r="C195" t="n">
        <v>2023</v>
      </c>
      <c r="D195" t="inlineStr">
        <is>
          <t>Avg. monthly income (Rs)</t>
        </is>
      </c>
      <c r="E195" s="14" t="n">
        <v>109103</v>
      </c>
    </row>
    <row r="196">
      <c r="A196" t="inlineStr">
        <is>
          <t>Matara</t>
        </is>
      </c>
      <c r="B196" t="inlineStr">
        <is>
          <t>Southern</t>
        </is>
      </c>
      <c r="C196" t="n">
        <v>2024</v>
      </c>
      <c r="D196" t="inlineStr">
        <is>
          <t>Population</t>
        </is>
      </c>
      <c r="E196" s="14" t="n">
        <v>2152259</v>
      </c>
    </row>
    <row r="197">
      <c r="A197" t="inlineStr">
        <is>
          <t>Matara</t>
        </is>
      </c>
      <c r="B197" t="inlineStr">
        <is>
          <t>Southern</t>
        </is>
      </c>
      <c r="C197" t="n">
        <v>2024</v>
      </c>
      <c r="D197" t="inlineStr">
        <is>
          <t>Schools</t>
        </is>
      </c>
      <c r="E197" s="14" t="n">
        <v>614</v>
      </c>
    </row>
    <row r="198">
      <c r="A198" t="inlineStr">
        <is>
          <t>Matara</t>
        </is>
      </c>
      <c r="B198" t="inlineStr">
        <is>
          <t>Southern</t>
        </is>
      </c>
      <c r="C198" t="n">
        <v>2024</v>
      </c>
      <c r="D198" t="inlineStr">
        <is>
          <t>Internet users (%)</t>
        </is>
      </c>
      <c r="E198" s="15" t="n">
        <v>45.8</v>
      </c>
    </row>
    <row r="199">
      <c r="A199" t="inlineStr">
        <is>
          <t>Matara</t>
        </is>
      </c>
      <c r="B199" t="inlineStr">
        <is>
          <t>Southern</t>
        </is>
      </c>
      <c r="C199" t="n">
        <v>2024</v>
      </c>
      <c r="D199" t="inlineStr">
        <is>
          <t>Households</t>
        </is>
      </c>
      <c r="E199" s="14" t="n">
        <v>523944</v>
      </c>
    </row>
    <row r="200">
      <c r="A200" t="inlineStr">
        <is>
          <t>Matara</t>
        </is>
      </c>
      <c r="B200" t="inlineStr">
        <is>
          <t>Southern</t>
        </is>
      </c>
      <c r="C200" t="n">
        <v>2024</v>
      </c>
      <c r="D200" t="inlineStr">
        <is>
          <t>Avg. monthly income (Rs)</t>
        </is>
      </c>
      <c r="E200" s="14" t="n">
        <v>104141</v>
      </c>
    </row>
    <row r="201">
      <c r="A201" t="inlineStr">
        <is>
          <t>Matara</t>
        </is>
      </c>
      <c r="B201" t="inlineStr">
        <is>
          <t>Southern</t>
        </is>
      </c>
      <c r="C201" t="n">
        <v>2025</v>
      </c>
      <c r="D201" t="inlineStr">
        <is>
          <t>Population</t>
        </is>
      </c>
      <c r="E201" s="14" t="n">
        <v>2175379</v>
      </c>
    </row>
    <row r="202">
      <c r="A202" t="inlineStr">
        <is>
          <t>Matara</t>
        </is>
      </c>
      <c r="B202" t="inlineStr">
        <is>
          <t>Southern</t>
        </is>
      </c>
      <c r="C202" t="n">
        <v>2025</v>
      </c>
      <c r="D202" t="inlineStr">
        <is>
          <t>Schools</t>
        </is>
      </c>
      <c r="E202" s="14" t="n">
        <v>647</v>
      </c>
    </row>
    <row r="203">
      <c r="A203" t="inlineStr">
        <is>
          <t>Matara</t>
        </is>
      </c>
      <c r="B203" t="inlineStr">
        <is>
          <t>Southern</t>
        </is>
      </c>
      <c r="C203" t="n">
        <v>2025</v>
      </c>
      <c r="D203" t="inlineStr">
        <is>
          <t>Internet users (%)</t>
        </is>
      </c>
      <c r="E203" s="15" t="n">
        <v>47.4</v>
      </c>
    </row>
    <row r="204">
      <c r="A204" t="inlineStr">
        <is>
          <t>Matara</t>
        </is>
      </c>
      <c r="B204" t="inlineStr">
        <is>
          <t>Southern</t>
        </is>
      </c>
      <c r="C204" t="n">
        <v>2025</v>
      </c>
      <c r="D204" t="inlineStr">
        <is>
          <t>Households</t>
        </is>
      </c>
      <c r="E204" s="14" t="n">
        <v>586177</v>
      </c>
    </row>
    <row r="205">
      <c r="A205" t="inlineStr">
        <is>
          <t>Matara</t>
        </is>
      </c>
      <c r="B205" t="inlineStr">
        <is>
          <t>Southern</t>
        </is>
      </c>
      <c r="C205" t="n">
        <v>2025</v>
      </c>
      <c r="D205" t="inlineStr">
        <is>
          <t>Avg. monthly income (Rs)</t>
        </is>
      </c>
      <c r="E205" s="14" t="n">
        <v>136985</v>
      </c>
    </row>
    <row r="206">
      <c r="A206" t="inlineStr">
        <is>
          <t>Hambantota</t>
        </is>
      </c>
      <c r="B206" t="inlineStr">
        <is>
          <t>Southern</t>
        </is>
      </c>
      <c r="C206" t="n">
        <v>2021</v>
      </c>
      <c r="D206" t="inlineStr">
        <is>
          <t>Population</t>
        </is>
      </c>
      <c r="E206" s="14" t="n">
        <v>934478</v>
      </c>
    </row>
    <row r="207">
      <c r="A207" t="inlineStr">
        <is>
          <t>Hambantota</t>
        </is>
      </c>
      <c r="B207" t="inlineStr">
        <is>
          <t>Southern</t>
        </is>
      </c>
      <c r="C207" t="n">
        <v>2021</v>
      </c>
      <c r="D207" t="inlineStr">
        <is>
          <t>Schools</t>
        </is>
      </c>
      <c r="E207" s="14" t="n">
        <v>871</v>
      </c>
    </row>
    <row r="208">
      <c r="A208" t="inlineStr">
        <is>
          <t>Hambantota</t>
        </is>
      </c>
      <c r="B208" t="inlineStr">
        <is>
          <t>Southern</t>
        </is>
      </c>
      <c r="C208" t="n">
        <v>2021</v>
      </c>
      <c r="D208" t="inlineStr">
        <is>
          <t>Internet users (%)</t>
        </is>
      </c>
      <c r="E208" s="15" t="n">
        <v>50</v>
      </c>
    </row>
    <row r="209">
      <c r="A209" t="inlineStr">
        <is>
          <t>Hambantota</t>
        </is>
      </c>
      <c r="B209" t="inlineStr">
        <is>
          <t>Southern</t>
        </is>
      </c>
      <c r="C209" t="n">
        <v>2021</v>
      </c>
      <c r="D209" t="inlineStr">
        <is>
          <t>Households</t>
        </is>
      </c>
      <c r="E209" s="14" t="n">
        <v>252251</v>
      </c>
    </row>
    <row r="210">
      <c r="A210" t="inlineStr">
        <is>
          <t>Hambantota</t>
        </is>
      </c>
      <c r="B210" t="inlineStr">
        <is>
          <t>Southern</t>
        </is>
      </c>
      <c r="C210" t="n">
        <v>2021</v>
      </c>
      <c r="D210" t="inlineStr">
        <is>
          <t>Avg. monthly income (Rs)</t>
        </is>
      </c>
      <c r="E210" s="14" t="n">
        <v>38829</v>
      </c>
    </row>
    <row r="211">
      <c r="A211" t="inlineStr">
        <is>
          <t>Hambantota</t>
        </is>
      </c>
      <c r="B211" t="inlineStr">
        <is>
          <t>Southern</t>
        </is>
      </c>
      <c r="C211" t="n">
        <v>2022</v>
      </c>
      <c r="D211" t="inlineStr">
        <is>
          <t>Population</t>
        </is>
      </c>
      <c r="E211" s="14" t="n">
        <v>941561</v>
      </c>
    </row>
    <row r="212">
      <c r="A212" t="inlineStr">
        <is>
          <t>Hambantota</t>
        </is>
      </c>
      <c r="B212" t="inlineStr">
        <is>
          <t>Southern</t>
        </is>
      </c>
      <c r="C212" t="n">
        <v>2022</v>
      </c>
      <c r="D212" t="inlineStr">
        <is>
          <t>Schools</t>
        </is>
      </c>
      <c r="E212" s="14" t="n">
        <v>880</v>
      </c>
    </row>
    <row r="213">
      <c r="A213" t="inlineStr">
        <is>
          <t>Hambantota</t>
        </is>
      </c>
      <c r="B213" t="inlineStr">
        <is>
          <t>Southern</t>
        </is>
      </c>
      <c r="C213" t="n">
        <v>2022</v>
      </c>
      <c r="D213" t="inlineStr">
        <is>
          <t>Internet users (%)</t>
        </is>
      </c>
      <c r="E213" s="15" t="n">
        <v>52.6</v>
      </c>
    </row>
    <row r="214">
      <c r="A214" t="inlineStr">
        <is>
          <t>Hambantota</t>
        </is>
      </c>
      <c r="B214" t="inlineStr">
        <is>
          <t>Southern</t>
        </is>
      </c>
      <c r="C214" t="n">
        <v>2022</v>
      </c>
      <c r="D214" t="inlineStr">
        <is>
          <t>Households</t>
        </is>
      </c>
      <c r="E214" s="14" t="n">
        <v>250606</v>
      </c>
    </row>
    <row r="215">
      <c r="A215" t="inlineStr">
        <is>
          <t>Hambantota</t>
        </is>
      </c>
      <c r="B215" t="inlineStr">
        <is>
          <t>Southern</t>
        </is>
      </c>
      <c r="C215" t="n">
        <v>2022</v>
      </c>
      <c r="D215" t="inlineStr">
        <is>
          <t>Avg. monthly income (Rs)</t>
        </is>
      </c>
      <c r="E215" s="14" t="n">
        <v>40405</v>
      </c>
    </row>
    <row r="216">
      <c r="A216" t="inlineStr">
        <is>
          <t>Hambantota</t>
        </is>
      </c>
      <c r="B216" t="inlineStr">
        <is>
          <t>Southern</t>
        </is>
      </c>
      <c r="C216" t="n">
        <v>2023</v>
      </c>
      <c r="D216" t="inlineStr">
        <is>
          <t>Population</t>
        </is>
      </c>
      <c r="E216" s="14" t="n">
        <v>948699</v>
      </c>
    </row>
    <row r="217">
      <c r="A217" t="inlineStr">
        <is>
          <t>Hambantota</t>
        </is>
      </c>
      <c r="B217" t="inlineStr">
        <is>
          <t>Southern</t>
        </is>
      </c>
      <c r="C217" t="n">
        <v>2023</v>
      </c>
      <c r="D217" t="inlineStr">
        <is>
          <t>Schools</t>
        </is>
      </c>
      <c r="E217" s="14" t="n">
        <v>879</v>
      </c>
    </row>
    <row r="218">
      <c r="A218" t="inlineStr">
        <is>
          <t>Hambantota</t>
        </is>
      </c>
      <c r="B218" t="inlineStr">
        <is>
          <t>Southern</t>
        </is>
      </c>
      <c r="C218" t="n">
        <v>2023</v>
      </c>
      <c r="D218" t="inlineStr">
        <is>
          <t>Internet users (%)</t>
        </is>
      </c>
      <c r="E218" s="15" t="n">
        <v>54.9</v>
      </c>
    </row>
    <row r="219">
      <c r="A219" t="inlineStr">
        <is>
          <t>Hambantota</t>
        </is>
      </c>
      <c r="B219" t="inlineStr">
        <is>
          <t>Southern</t>
        </is>
      </c>
      <c r="C219" t="n">
        <v>2023</v>
      </c>
      <c r="D219" t="inlineStr">
        <is>
          <t>Households</t>
        </is>
      </c>
      <c r="E219" s="14" t="n">
        <v>227974</v>
      </c>
    </row>
    <row r="220">
      <c r="A220" t="inlineStr">
        <is>
          <t>Hambantota</t>
        </is>
      </c>
      <c r="B220" t="inlineStr">
        <is>
          <t>Southern</t>
        </is>
      </c>
      <c r="C220" t="n">
        <v>2023</v>
      </c>
      <c r="D220" t="inlineStr">
        <is>
          <t>Avg. monthly income (Rs)</t>
        </is>
      </c>
      <c r="E220" s="14" t="n">
        <v>46397</v>
      </c>
    </row>
    <row r="221">
      <c r="A221" t="inlineStr">
        <is>
          <t>Hambantota</t>
        </is>
      </c>
      <c r="B221" t="inlineStr">
        <is>
          <t>Southern</t>
        </is>
      </c>
      <c r="C221" t="n">
        <v>2024</v>
      </c>
      <c r="D221" t="inlineStr">
        <is>
          <t>Population</t>
        </is>
      </c>
      <c r="E221" s="14" t="n">
        <v>955891</v>
      </c>
    </row>
    <row r="222">
      <c r="A222" t="inlineStr">
        <is>
          <t>Hambantota</t>
        </is>
      </c>
      <c r="B222" t="inlineStr">
        <is>
          <t>Southern</t>
        </is>
      </c>
      <c r="C222" t="n">
        <v>2024</v>
      </c>
      <c r="D222" t="inlineStr">
        <is>
          <t>Schools</t>
        </is>
      </c>
      <c r="E222" s="14" t="n">
        <v>868</v>
      </c>
    </row>
    <row r="223">
      <c r="A223" t="inlineStr">
        <is>
          <t>Hambantota</t>
        </is>
      </c>
      <c r="B223" t="inlineStr">
        <is>
          <t>Southern</t>
        </is>
      </c>
      <c r="C223" t="n">
        <v>2024</v>
      </c>
      <c r="D223" t="inlineStr">
        <is>
          <t>Internet users (%)</t>
        </is>
      </c>
      <c r="E223" s="15" t="n">
        <v>63.5</v>
      </c>
    </row>
    <row r="224">
      <c r="A224" t="inlineStr">
        <is>
          <t>Hambantota</t>
        </is>
      </c>
      <c r="B224" t="inlineStr">
        <is>
          <t>Southern</t>
        </is>
      </c>
      <c r="C224" t="n">
        <v>2024</v>
      </c>
      <c r="D224" t="inlineStr">
        <is>
          <t>Households</t>
        </is>
      </c>
      <c r="E224" s="14" t="n">
        <v>235864</v>
      </c>
    </row>
    <row r="225">
      <c r="A225" t="inlineStr">
        <is>
          <t>Hambantota</t>
        </is>
      </c>
      <c r="B225" t="inlineStr">
        <is>
          <t>Southern</t>
        </is>
      </c>
      <c r="C225" t="n">
        <v>2024</v>
      </c>
      <c r="D225" t="inlineStr">
        <is>
          <t>Avg. monthly income (Rs)</t>
        </is>
      </c>
      <c r="E225" s="14" t="n">
        <v>43468</v>
      </c>
    </row>
    <row r="226">
      <c r="A226" t="inlineStr">
        <is>
          <t>Hambantota</t>
        </is>
      </c>
      <c r="B226" t="inlineStr">
        <is>
          <t>Southern</t>
        </is>
      </c>
      <c r="C226" t="n">
        <v>2025</v>
      </c>
      <c r="D226" t="inlineStr">
        <is>
          <t>Population</t>
        </is>
      </c>
      <c r="E226" s="14" t="n">
        <v>963137</v>
      </c>
    </row>
    <row r="227">
      <c r="A227" t="inlineStr">
        <is>
          <t>Hambantota</t>
        </is>
      </c>
      <c r="B227" t="inlineStr">
        <is>
          <t>Southern</t>
        </is>
      </c>
      <c r="C227" t="n">
        <v>2025</v>
      </c>
      <c r="D227" t="inlineStr">
        <is>
          <t>Schools</t>
        </is>
      </c>
      <c r="E227" s="14" t="n">
        <v>879</v>
      </c>
    </row>
    <row r="228">
      <c r="A228" t="inlineStr">
        <is>
          <t>Hambantota</t>
        </is>
      </c>
      <c r="B228" t="inlineStr">
        <is>
          <t>Southern</t>
        </is>
      </c>
      <c r="C228" t="n">
        <v>2025</v>
      </c>
      <c r="D228" t="inlineStr">
        <is>
          <t>Internet users (%)</t>
        </is>
      </c>
      <c r="E228" s="15" t="n">
        <v>60</v>
      </c>
    </row>
    <row r="229">
      <c r="A229" t="inlineStr">
        <is>
          <t>Hambantota</t>
        </is>
      </c>
      <c r="B229" t="inlineStr">
        <is>
          <t>Southern</t>
        </is>
      </c>
      <c r="C229" t="n">
        <v>2025</v>
      </c>
      <c r="D229" t="inlineStr">
        <is>
          <t>Households</t>
        </is>
      </c>
      <c r="E229" s="14" t="n">
        <v>241070</v>
      </c>
    </row>
    <row r="230">
      <c r="A230" t="inlineStr">
        <is>
          <t>Hambantota</t>
        </is>
      </c>
      <c r="B230" t="inlineStr">
        <is>
          <t>Southern</t>
        </is>
      </c>
      <c r="C230" t="n">
        <v>2025</v>
      </c>
      <c r="D230" t="inlineStr">
        <is>
          <t>Avg. monthly income (Rs)</t>
        </is>
      </c>
      <c r="E230" s="14" t="n">
        <v>47064</v>
      </c>
    </row>
    <row r="231">
      <c r="A231" t="inlineStr">
        <is>
          <t>Jaffna</t>
        </is>
      </c>
      <c r="B231" t="inlineStr">
        <is>
          <t>Northern</t>
        </is>
      </c>
      <c r="C231" t="n">
        <v>2021</v>
      </c>
      <c r="D231" t="inlineStr">
        <is>
          <t>Population</t>
        </is>
      </c>
      <c r="E231" s="14" t="n">
        <v>2025023</v>
      </c>
    </row>
    <row r="232">
      <c r="A232" t="inlineStr">
        <is>
          <t>Jaffna</t>
        </is>
      </c>
      <c r="B232" t="inlineStr">
        <is>
          <t>Northern</t>
        </is>
      </c>
      <c r="C232" t="n">
        <v>2021</v>
      </c>
      <c r="D232" t="inlineStr">
        <is>
          <t>Schools</t>
        </is>
      </c>
      <c r="E232" s="14" t="n">
        <v>264</v>
      </c>
    </row>
    <row r="233">
      <c r="A233" t="inlineStr">
        <is>
          <t>Jaffna</t>
        </is>
      </c>
      <c r="B233" t="inlineStr">
        <is>
          <t>Northern</t>
        </is>
      </c>
      <c r="C233" t="n">
        <v>2021</v>
      </c>
      <c r="D233" t="inlineStr">
        <is>
          <t>Internet users (%)</t>
        </is>
      </c>
      <c r="E233" s="15" t="n">
        <v>32.9</v>
      </c>
    </row>
    <row r="234">
      <c r="A234" t="inlineStr">
        <is>
          <t>Jaffna</t>
        </is>
      </c>
      <c r="B234" t="inlineStr">
        <is>
          <t>Northern</t>
        </is>
      </c>
      <c r="C234" t="n">
        <v>2021</v>
      </c>
      <c r="D234" t="inlineStr">
        <is>
          <t>Households</t>
        </is>
      </c>
      <c r="E234" s="14" t="n">
        <v>528595</v>
      </c>
    </row>
    <row r="235">
      <c r="A235" t="inlineStr">
        <is>
          <t>Jaffna</t>
        </is>
      </c>
      <c r="B235" t="inlineStr">
        <is>
          <t>Northern</t>
        </is>
      </c>
      <c r="C235" t="n">
        <v>2021</v>
      </c>
      <c r="D235" t="inlineStr">
        <is>
          <t>Avg. monthly income (Rs)</t>
        </is>
      </c>
      <c r="E235" s="14" t="n">
        <v>80551</v>
      </c>
    </row>
    <row r="236">
      <c r="A236" t="inlineStr">
        <is>
          <t>Jaffna</t>
        </is>
      </c>
      <c r="B236" t="inlineStr">
        <is>
          <t>Northern</t>
        </is>
      </c>
      <c r="C236" t="n">
        <v>2022</v>
      </c>
      <c r="D236" t="inlineStr">
        <is>
          <t>Population</t>
        </is>
      </c>
      <c r="E236" s="14" t="n">
        <v>2055010</v>
      </c>
    </row>
    <row r="237">
      <c r="A237" t="inlineStr">
        <is>
          <t>Jaffna</t>
        </is>
      </c>
      <c r="B237" t="inlineStr">
        <is>
          <t>Northern</t>
        </is>
      </c>
      <c r="C237" t="n">
        <v>2022</v>
      </c>
      <c r="D237" t="inlineStr">
        <is>
          <t>Schools</t>
        </is>
      </c>
      <c r="E237" s="14" t="n">
        <v>270</v>
      </c>
    </row>
    <row r="238">
      <c r="A238" t="inlineStr">
        <is>
          <t>Jaffna</t>
        </is>
      </c>
      <c r="B238" t="inlineStr">
        <is>
          <t>Northern</t>
        </is>
      </c>
      <c r="C238" t="n">
        <v>2022</v>
      </c>
      <c r="D238" t="inlineStr">
        <is>
          <t>Internet users (%)</t>
        </is>
      </c>
      <c r="E238" s="15" t="n">
        <v>36.5</v>
      </c>
    </row>
    <row r="239">
      <c r="A239" t="inlineStr">
        <is>
          <t>Jaffna</t>
        </is>
      </c>
      <c r="B239" t="inlineStr">
        <is>
          <t>Northern</t>
        </is>
      </c>
      <c r="C239" t="n">
        <v>2022</v>
      </c>
      <c r="D239" t="inlineStr">
        <is>
          <t>Households</t>
        </is>
      </c>
      <c r="E239" s="14" t="n">
        <v>504852</v>
      </c>
    </row>
    <row r="240">
      <c r="A240" t="inlineStr">
        <is>
          <t>Jaffna</t>
        </is>
      </c>
      <c r="B240" t="inlineStr">
        <is>
          <t>Northern</t>
        </is>
      </c>
      <c r="C240" t="n">
        <v>2022</v>
      </c>
      <c r="D240" t="inlineStr">
        <is>
          <t>Avg. monthly income (Rs)</t>
        </is>
      </c>
      <c r="E240" s="14" t="n">
        <v>86874</v>
      </c>
    </row>
    <row r="241">
      <c r="A241" t="inlineStr">
        <is>
          <t>Jaffna</t>
        </is>
      </c>
      <c r="B241" t="inlineStr">
        <is>
          <t>Northern</t>
        </is>
      </c>
      <c r="C241" t="n">
        <v>2023</v>
      </c>
      <c r="D241" t="inlineStr">
        <is>
          <t>Population</t>
        </is>
      </c>
      <c r="E241" s="14" t="n">
        <v>2085442</v>
      </c>
    </row>
    <row r="242">
      <c r="A242" t="inlineStr">
        <is>
          <t>Jaffna</t>
        </is>
      </c>
      <c r="B242" t="inlineStr">
        <is>
          <t>Northern</t>
        </is>
      </c>
      <c r="C242" t="n">
        <v>2023</v>
      </c>
      <c r="D242" t="inlineStr">
        <is>
          <t>Schools</t>
        </is>
      </c>
      <c r="E242" s="14" t="n">
        <v>256</v>
      </c>
    </row>
    <row r="243">
      <c r="A243" t="inlineStr">
        <is>
          <t>Jaffna</t>
        </is>
      </c>
      <c r="B243" t="inlineStr">
        <is>
          <t>Northern</t>
        </is>
      </c>
      <c r="C243" t="n">
        <v>2023</v>
      </c>
      <c r="D243" t="inlineStr">
        <is>
          <t>Internet users (%)</t>
        </is>
      </c>
      <c r="E243" s="15" t="n">
        <v>37.7</v>
      </c>
    </row>
    <row r="244">
      <c r="A244" t="inlineStr">
        <is>
          <t>Jaffna</t>
        </is>
      </c>
      <c r="B244" t="inlineStr">
        <is>
          <t>Northern</t>
        </is>
      </c>
      <c r="C244" t="n">
        <v>2023</v>
      </c>
      <c r="D244" t="inlineStr">
        <is>
          <t>Households</t>
        </is>
      </c>
      <c r="E244" s="14" t="n">
        <v>552667</v>
      </c>
    </row>
    <row r="245">
      <c r="A245" t="inlineStr">
        <is>
          <t>Jaffna</t>
        </is>
      </c>
      <c r="B245" t="inlineStr">
        <is>
          <t>Northern</t>
        </is>
      </c>
      <c r="C245" t="n">
        <v>2023</v>
      </c>
      <c r="D245" t="inlineStr">
        <is>
          <t>Avg. monthly income (Rs)</t>
        </is>
      </c>
      <c r="E245" s="14" t="n">
        <v>98616</v>
      </c>
    </row>
    <row r="246">
      <c r="A246" t="inlineStr">
        <is>
          <t>Jaffna</t>
        </is>
      </c>
      <c r="B246" t="inlineStr">
        <is>
          <t>Northern</t>
        </is>
      </c>
      <c r="C246" t="n">
        <v>2024</v>
      </c>
      <c r="D246" t="inlineStr">
        <is>
          <t>Population</t>
        </is>
      </c>
      <c r="E246" s="14" t="n">
        <v>2116324</v>
      </c>
    </row>
    <row r="247">
      <c r="A247" t="inlineStr">
        <is>
          <t>Jaffna</t>
        </is>
      </c>
      <c r="B247" t="inlineStr">
        <is>
          <t>Northern</t>
        </is>
      </c>
      <c r="C247" t="n">
        <v>2024</v>
      </c>
      <c r="D247" t="inlineStr">
        <is>
          <t>Schools</t>
        </is>
      </c>
      <c r="E247" s="14" t="n">
        <v>288</v>
      </c>
    </row>
    <row r="248">
      <c r="A248" t="inlineStr">
        <is>
          <t>Jaffna</t>
        </is>
      </c>
      <c r="B248" t="inlineStr">
        <is>
          <t>Northern</t>
        </is>
      </c>
      <c r="C248" t="n">
        <v>2024</v>
      </c>
      <c r="D248" t="inlineStr">
        <is>
          <t>Internet users (%)</t>
        </is>
      </c>
      <c r="E248" s="15" t="n">
        <v>38.6</v>
      </c>
    </row>
    <row r="249">
      <c r="A249" t="inlineStr">
        <is>
          <t>Jaffna</t>
        </is>
      </c>
      <c r="B249" t="inlineStr">
        <is>
          <t>Northern</t>
        </is>
      </c>
      <c r="C249" t="n">
        <v>2024</v>
      </c>
      <c r="D249" t="inlineStr">
        <is>
          <t>Households</t>
        </is>
      </c>
      <c r="E249" s="14" t="n">
        <v>481934</v>
      </c>
    </row>
    <row r="250">
      <c r="A250" t="inlineStr">
        <is>
          <t>Jaffna</t>
        </is>
      </c>
      <c r="B250" t="inlineStr">
        <is>
          <t>Northern</t>
        </is>
      </c>
      <c r="C250" t="n">
        <v>2024</v>
      </c>
      <c r="D250" t="inlineStr">
        <is>
          <t>Avg. monthly income (Rs)</t>
        </is>
      </c>
      <c r="E250" s="14" t="n">
        <v>92590</v>
      </c>
    </row>
    <row r="251">
      <c r="A251" t="inlineStr">
        <is>
          <t>Jaffna</t>
        </is>
      </c>
      <c r="B251" t="inlineStr">
        <is>
          <t>Northern</t>
        </is>
      </c>
      <c r="C251" t="n">
        <v>2025</v>
      </c>
      <c r="D251" t="inlineStr">
        <is>
          <t>Population</t>
        </is>
      </c>
      <c r="E251" s="14" t="n">
        <v>2147663</v>
      </c>
    </row>
    <row r="252">
      <c r="A252" t="inlineStr">
        <is>
          <t>Jaffna</t>
        </is>
      </c>
      <c r="B252" t="inlineStr">
        <is>
          <t>Northern</t>
        </is>
      </c>
      <c r="C252" t="n">
        <v>2025</v>
      </c>
      <c r="D252" t="inlineStr">
        <is>
          <t>Schools</t>
        </is>
      </c>
      <c r="E252" s="14" t="n">
        <v>252</v>
      </c>
    </row>
    <row r="253">
      <c r="A253" t="inlineStr">
        <is>
          <t>Jaffna</t>
        </is>
      </c>
      <c r="B253" t="inlineStr">
        <is>
          <t>Northern</t>
        </is>
      </c>
      <c r="C253" t="n">
        <v>2025</v>
      </c>
      <c r="D253" t="inlineStr">
        <is>
          <t>Internet users (%)</t>
        </is>
      </c>
      <c r="E253" s="15" t="n">
        <v>39.3</v>
      </c>
    </row>
    <row r="254">
      <c r="A254" t="inlineStr">
        <is>
          <t>Jaffna</t>
        </is>
      </c>
      <c r="B254" t="inlineStr">
        <is>
          <t>Northern</t>
        </is>
      </c>
      <c r="C254" t="n">
        <v>2025</v>
      </c>
      <c r="D254" t="inlineStr">
        <is>
          <t>Households</t>
        </is>
      </c>
      <c r="E254" s="14" t="n">
        <v>567476</v>
      </c>
    </row>
    <row r="255">
      <c r="A255" t="inlineStr">
        <is>
          <t>Jaffna</t>
        </is>
      </c>
      <c r="B255" t="inlineStr">
        <is>
          <t>Northern</t>
        </is>
      </c>
      <c r="C255" t="n">
        <v>2025</v>
      </c>
      <c r="D255" t="inlineStr">
        <is>
          <t>Avg. monthly income (Rs)</t>
        </is>
      </c>
      <c r="E255" s="14" t="n">
        <v>120010</v>
      </c>
    </row>
    <row r="256">
      <c r="A256" t="inlineStr">
        <is>
          <t>Kilinochchi</t>
        </is>
      </c>
      <c r="B256" t="inlineStr">
        <is>
          <t>Northern</t>
        </is>
      </c>
      <c r="C256" t="n">
        <v>2021</v>
      </c>
      <c r="D256" t="inlineStr">
        <is>
          <t>Population</t>
        </is>
      </c>
      <c r="E256" s="14" t="n">
        <v>1098567</v>
      </c>
    </row>
    <row r="257">
      <c r="A257" t="inlineStr">
        <is>
          <t>Kilinochchi</t>
        </is>
      </c>
      <c r="B257" t="inlineStr">
        <is>
          <t>Northern</t>
        </is>
      </c>
      <c r="C257" t="n">
        <v>2021</v>
      </c>
      <c r="D257" t="inlineStr">
        <is>
          <t>Schools</t>
        </is>
      </c>
      <c r="E257" s="14" t="n">
        <v>822</v>
      </c>
    </row>
    <row r="258">
      <c r="A258" t="inlineStr">
        <is>
          <t>Kilinochchi</t>
        </is>
      </c>
      <c r="B258" t="inlineStr">
        <is>
          <t>Northern</t>
        </is>
      </c>
      <c r="C258" t="n">
        <v>2021</v>
      </c>
      <c r="D258" t="inlineStr">
        <is>
          <t>Internet users (%)</t>
        </is>
      </c>
      <c r="E258" s="15" t="n">
        <v>55.2</v>
      </c>
    </row>
    <row r="259">
      <c r="A259" t="inlineStr">
        <is>
          <t>Kilinochchi</t>
        </is>
      </c>
      <c r="B259" t="inlineStr">
        <is>
          <t>Northern</t>
        </is>
      </c>
      <c r="C259" t="n">
        <v>2021</v>
      </c>
      <c r="D259" t="inlineStr">
        <is>
          <t>Households</t>
        </is>
      </c>
      <c r="E259" s="14" t="n">
        <v>250646</v>
      </c>
    </row>
    <row r="260">
      <c r="A260" t="inlineStr">
        <is>
          <t>Kilinochchi</t>
        </is>
      </c>
      <c r="B260" t="inlineStr">
        <is>
          <t>Northern</t>
        </is>
      </c>
      <c r="C260" t="n">
        <v>2021</v>
      </c>
      <c r="D260" t="inlineStr">
        <is>
          <t>Avg. monthly income (Rs)</t>
        </is>
      </c>
      <c r="E260" s="14" t="n">
        <v>75049</v>
      </c>
    </row>
    <row r="261">
      <c r="A261" t="inlineStr">
        <is>
          <t>Kilinochchi</t>
        </is>
      </c>
      <c r="B261" t="inlineStr">
        <is>
          <t>Northern</t>
        </is>
      </c>
      <c r="C261" t="n">
        <v>2022</v>
      </c>
      <c r="D261" t="inlineStr">
        <is>
          <t>Population</t>
        </is>
      </c>
      <c r="E261" s="14" t="n">
        <v>1108352</v>
      </c>
    </row>
    <row r="262">
      <c r="A262" t="inlineStr">
        <is>
          <t>Kilinochchi</t>
        </is>
      </c>
      <c r="B262" t="inlineStr">
        <is>
          <t>Northern</t>
        </is>
      </c>
      <c r="C262" t="n">
        <v>2022</v>
      </c>
      <c r="D262" t="inlineStr">
        <is>
          <t>Schools</t>
        </is>
      </c>
      <c r="E262" s="14" t="n">
        <v>822</v>
      </c>
    </row>
    <row r="263">
      <c r="A263" t="inlineStr">
        <is>
          <t>Kilinochchi</t>
        </is>
      </c>
      <c r="B263" t="inlineStr">
        <is>
          <t>Northern</t>
        </is>
      </c>
      <c r="C263" t="n">
        <v>2022</v>
      </c>
      <c r="D263" t="inlineStr">
        <is>
          <t>Internet users (%)</t>
        </is>
      </c>
      <c r="E263" s="15" t="n">
        <v>57</v>
      </c>
    </row>
    <row r="264">
      <c r="A264" t="inlineStr">
        <is>
          <t>Kilinochchi</t>
        </is>
      </c>
      <c r="B264" t="inlineStr">
        <is>
          <t>Northern</t>
        </is>
      </c>
      <c r="C264" t="n">
        <v>2022</v>
      </c>
      <c r="D264" t="inlineStr">
        <is>
          <t>Households</t>
        </is>
      </c>
      <c r="E264" s="14" t="n">
        <v>287579</v>
      </c>
    </row>
    <row r="265">
      <c r="A265" t="inlineStr">
        <is>
          <t>Kilinochchi</t>
        </is>
      </c>
      <c r="B265" t="inlineStr">
        <is>
          <t>Northern</t>
        </is>
      </c>
      <c r="C265" t="n">
        <v>2022</v>
      </c>
      <c r="D265" t="inlineStr">
        <is>
          <t>Avg. monthly income (Rs)</t>
        </is>
      </c>
      <c r="E265" s="14" t="n">
        <v>81350</v>
      </c>
    </row>
    <row r="266">
      <c r="A266" t="inlineStr">
        <is>
          <t>Kilinochchi</t>
        </is>
      </c>
      <c r="B266" t="inlineStr">
        <is>
          <t>Northern</t>
        </is>
      </c>
      <c r="C266" t="n">
        <v>2023</v>
      </c>
      <c r="D266" t="inlineStr">
        <is>
          <t>Population</t>
        </is>
      </c>
      <c r="E266" s="14" t="n">
        <v>1118226</v>
      </c>
    </row>
    <row r="267">
      <c r="A267" t="inlineStr">
        <is>
          <t>Kilinochchi</t>
        </is>
      </c>
      <c r="B267" t="inlineStr">
        <is>
          <t>Northern</t>
        </is>
      </c>
      <c r="C267" t="n">
        <v>2023</v>
      </c>
      <c r="D267" t="inlineStr">
        <is>
          <t>Schools</t>
        </is>
      </c>
      <c r="E267" s="14" t="n">
        <v>828</v>
      </c>
    </row>
    <row r="268">
      <c r="A268" t="inlineStr">
        <is>
          <t>Kilinochchi</t>
        </is>
      </c>
      <c r="B268" t="inlineStr">
        <is>
          <t>Northern</t>
        </is>
      </c>
      <c r="C268" t="n">
        <v>2023</v>
      </c>
      <c r="D268" t="inlineStr">
        <is>
          <t>Internet users (%)</t>
        </is>
      </c>
      <c r="E268" s="15" t="n">
        <v>63</v>
      </c>
    </row>
    <row r="269">
      <c r="A269" t="inlineStr">
        <is>
          <t>Kilinochchi</t>
        </is>
      </c>
      <c r="B269" t="inlineStr">
        <is>
          <t>Northern</t>
        </is>
      </c>
      <c r="C269" t="n">
        <v>2023</v>
      </c>
      <c r="D269" t="inlineStr">
        <is>
          <t>Households</t>
        </is>
      </c>
      <c r="E269" s="14" t="n">
        <v>260870</v>
      </c>
    </row>
    <row r="270">
      <c r="A270" t="inlineStr">
        <is>
          <t>Kilinochchi</t>
        </is>
      </c>
      <c r="B270" t="inlineStr">
        <is>
          <t>Northern</t>
        </is>
      </c>
      <c r="C270" t="n">
        <v>2023</v>
      </c>
      <c r="D270" t="inlineStr">
        <is>
          <t>Avg. monthly income (Rs)</t>
        </is>
      </c>
      <c r="E270" s="14" t="n">
        <v>81521</v>
      </c>
    </row>
    <row r="271">
      <c r="A271" t="inlineStr">
        <is>
          <t>Kilinochchi</t>
        </is>
      </c>
      <c r="B271" t="inlineStr">
        <is>
          <t>Northern</t>
        </is>
      </c>
      <c r="C271" t="n">
        <v>2024</v>
      </c>
      <c r="D271" t="inlineStr">
        <is>
          <t>Population</t>
        </is>
      </c>
      <c r="E271" s="14" t="n">
        <v>1128187</v>
      </c>
    </row>
    <row r="272">
      <c r="A272" t="inlineStr">
        <is>
          <t>Kilinochchi</t>
        </is>
      </c>
      <c r="B272" t="inlineStr">
        <is>
          <t>Northern</t>
        </is>
      </c>
      <c r="C272" t="n">
        <v>2024</v>
      </c>
      <c r="D272" t="inlineStr">
        <is>
          <t>Schools</t>
        </is>
      </c>
      <c r="E272" s="14" t="n">
        <v>840</v>
      </c>
    </row>
    <row r="273">
      <c r="A273" t="inlineStr">
        <is>
          <t>Kilinochchi</t>
        </is>
      </c>
      <c r="B273" t="inlineStr">
        <is>
          <t>Northern</t>
        </is>
      </c>
      <c r="C273" t="n">
        <v>2024</v>
      </c>
      <c r="D273" t="inlineStr">
        <is>
          <t>Internet users (%)</t>
        </is>
      </c>
      <c r="E273" s="15" t="n">
        <v>61.4</v>
      </c>
    </row>
    <row r="274">
      <c r="A274" t="inlineStr">
        <is>
          <t>Kilinochchi</t>
        </is>
      </c>
      <c r="B274" t="inlineStr">
        <is>
          <t>Northern</t>
        </is>
      </c>
      <c r="C274" t="n">
        <v>2024</v>
      </c>
      <c r="D274" t="inlineStr">
        <is>
          <t>Households</t>
        </is>
      </c>
      <c r="E274" s="14" t="n">
        <v>269021</v>
      </c>
    </row>
    <row r="275">
      <c r="A275" t="inlineStr">
        <is>
          <t>Kilinochchi</t>
        </is>
      </c>
      <c r="B275" t="inlineStr">
        <is>
          <t>Northern</t>
        </is>
      </c>
      <c r="C275" t="n">
        <v>2024</v>
      </c>
      <c r="D275" t="inlineStr">
        <is>
          <t>Avg. monthly income (Rs)</t>
        </is>
      </c>
      <c r="E275" s="14" t="n">
        <v>85402</v>
      </c>
    </row>
    <row r="276">
      <c r="A276" t="inlineStr">
        <is>
          <t>Kilinochchi</t>
        </is>
      </c>
      <c r="B276" t="inlineStr">
        <is>
          <t>Northern</t>
        </is>
      </c>
      <c r="C276" t="n">
        <v>2025</v>
      </c>
      <c r="D276" t="inlineStr">
        <is>
          <t>Population</t>
        </is>
      </c>
      <c r="E276" s="14" t="n">
        <v>1138237</v>
      </c>
    </row>
    <row r="277">
      <c r="A277" t="inlineStr">
        <is>
          <t>Kilinochchi</t>
        </is>
      </c>
      <c r="B277" t="inlineStr">
        <is>
          <t>Northern</t>
        </is>
      </c>
      <c r="C277" t="n">
        <v>2025</v>
      </c>
      <c r="D277" t="inlineStr">
        <is>
          <t>Schools</t>
        </is>
      </c>
      <c r="E277" s="14" t="n">
        <v>818</v>
      </c>
    </row>
    <row r="278">
      <c r="A278" t="inlineStr">
        <is>
          <t>Kilinochchi</t>
        </is>
      </c>
      <c r="B278" t="inlineStr">
        <is>
          <t>Northern</t>
        </is>
      </c>
      <c r="C278" t="n">
        <v>2025</v>
      </c>
      <c r="D278" t="inlineStr">
        <is>
          <t>Internet users (%)</t>
        </is>
      </c>
      <c r="E278" s="15" t="n">
        <v>68</v>
      </c>
    </row>
    <row r="279">
      <c r="A279" t="inlineStr">
        <is>
          <t>Kilinochchi</t>
        </is>
      </c>
      <c r="B279" t="inlineStr">
        <is>
          <t>Northern</t>
        </is>
      </c>
      <c r="C279" t="n">
        <v>2025</v>
      </c>
      <c r="D279" t="inlineStr">
        <is>
          <t>Households</t>
        </is>
      </c>
      <c r="E279" s="14" t="n">
        <v>282052</v>
      </c>
    </row>
    <row r="280">
      <c r="A280" t="inlineStr">
        <is>
          <t>Kilinochchi</t>
        </is>
      </c>
      <c r="B280" t="inlineStr">
        <is>
          <t>Northern</t>
        </is>
      </c>
      <c r="C280" t="n">
        <v>2025</v>
      </c>
      <c r="D280" t="inlineStr">
        <is>
          <t>Avg. monthly income (Rs)</t>
        </is>
      </c>
      <c r="E280" s="14" t="n">
        <v>88787</v>
      </c>
    </row>
    <row r="281">
      <c r="A281" t="inlineStr">
        <is>
          <t>Mannar</t>
        </is>
      </c>
      <c r="B281" t="inlineStr">
        <is>
          <t>Northern</t>
        </is>
      </c>
      <c r="C281" t="n">
        <v>2021</v>
      </c>
      <c r="D281" t="inlineStr">
        <is>
          <t>Population</t>
        </is>
      </c>
      <c r="E281" s="14" t="n">
        <v>717742</v>
      </c>
    </row>
    <row r="282">
      <c r="A282" t="inlineStr">
        <is>
          <t>Mannar</t>
        </is>
      </c>
      <c r="B282" t="inlineStr">
        <is>
          <t>Northern</t>
        </is>
      </c>
      <c r="C282" t="n">
        <v>2021</v>
      </c>
      <c r="D282" t="inlineStr">
        <is>
          <t>Schools</t>
        </is>
      </c>
      <c r="E282" s="14" t="n">
        <v>852</v>
      </c>
    </row>
    <row r="283">
      <c r="A283" t="inlineStr">
        <is>
          <t>Mannar</t>
        </is>
      </c>
      <c r="B283" t="inlineStr">
        <is>
          <t>Northern</t>
        </is>
      </c>
      <c r="C283" t="n">
        <v>2021</v>
      </c>
      <c r="D283" t="inlineStr">
        <is>
          <t>Internet users (%)</t>
        </is>
      </c>
      <c r="E283" s="15" t="n">
        <v>49.7</v>
      </c>
    </row>
    <row r="284">
      <c r="A284" t="inlineStr">
        <is>
          <t>Mannar</t>
        </is>
      </c>
      <c r="B284" t="inlineStr">
        <is>
          <t>Northern</t>
        </is>
      </c>
      <c r="C284" t="n">
        <v>2021</v>
      </c>
      <c r="D284" t="inlineStr">
        <is>
          <t>Households</t>
        </is>
      </c>
      <c r="E284" s="14" t="n">
        <v>172949</v>
      </c>
    </row>
    <row r="285">
      <c r="A285" t="inlineStr">
        <is>
          <t>Mannar</t>
        </is>
      </c>
      <c r="B285" t="inlineStr">
        <is>
          <t>Northern</t>
        </is>
      </c>
      <c r="C285" t="n">
        <v>2021</v>
      </c>
      <c r="D285" t="inlineStr">
        <is>
          <t>Avg. monthly income (Rs)</t>
        </is>
      </c>
      <c r="E285" s="14" t="n">
        <v>48210</v>
      </c>
    </row>
    <row r="286">
      <c r="A286" t="inlineStr">
        <is>
          <t>Mannar</t>
        </is>
      </c>
      <c r="B286" t="inlineStr">
        <is>
          <t>Northern</t>
        </is>
      </c>
      <c r="C286" t="n">
        <v>2022</v>
      </c>
      <c r="D286" t="inlineStr">
        <is>
          <t>Population</t>
        </is>
      </c>
      <c r="E286" s="14" t="n">
        <v>723622</v>
      </c>
    </row>
    <row r="287">
      <c r="A287" t="inlineStr">
        <is>
          <t>Mannar</t>
        </is>
      </c>
      <c r="B287" t="inlineStr">
        <is>
          <t>Northern</t>
        </is>
      </c>
      <c r="C287" t="n">
        <v>2022</v>
      </c>
      <c r="D287" t="inlineStr">
        <is>
          <t>Schools</t>
        </is>
      </c>
      <c r="E287" s="14" t="n">
        <v>855</v>
      </c>
    </row>
    <row r="288">
      <c r="A288" t="inlineStr">
        <is>
          <t>Mannar</t>
        </is>
      </c>
      <c r="B288" t="inlineStr">
        <is>
          <t>Northern</t>
        </is>
      </c>
      <c r="C288" t="n">
        <v>2022</v>
      </c>
      <c r="D288" t="inlineStr">
        <is>
          <t>Internet users (%)</t>
        </is>
      </c>
      <c r="E288" s="15" t="n">
        <v>53.7</v>
      </c>
    </row>
    <row r="289">
      <c r="A289" t="inlineStr">
        <is>
          <t>Mannar</t>
        </is>
      </c>
      <c r="B289" t="inlineStr">
        <is>
          <t>Northern</t>
        </is>
      </c>
      <c r="C289" t="n">
        <v>2022</v>
      </c>
      <c r="D289" t="inlineStr">
        <is>
          <t>Households</t>
        </is>
      </c>
      <c r="E289" s="14" t="n">
        <v>191233</v>
      </c>
    </row>
    <row r="290">
      <c r="A290" t="inlineStr">
        <is>
          <t>Mannar</t>
        </is>
      </c>
      <c r="B290" t="inlineStr">
        <is>
          <t>Northern</t>
        </is>
      </c>
      <c r="C290" t="n">
        <v>2022</v>
      </c>
      <c r="D290" t="inlineStr">
        <is>
          <t>Avg. monthly income (Rs)</t>
        </is>
      </c>
      <c r="E290" s="14" t="n">
        <v>52224</v>
      </c>
    </row>
    <row r="291">
      <c r="A291" t="inlineStr">
        <is>
          <t>Mannar</t>
        </is>
      </c>
      <c r="B291" t="inlineStr">
        <is>
          <t>Northern</t>
        </is>
      </c>
      <c r="C291" t="n">
        <v>2023</v>
      </c>
      <c r="D291" t="inlineStr">
        <is>
          <t>Population</t>
        </is>
      </c>
      <c r="E291" s="14" t="n">
        <v>729550</v>
      </c>
    </row>
    <row r="292">
      <c r="A292" t="inlineStr">
        <is>
          <t>Mannar</t>
        </is>
      </c>
      <c r="B292" t="inlineStr">
        <is>
          <t>Northern</t>
        </is>
      </c>
      <c r="C292" t="n">
        <v>2023</v>
      </c>
      <c r="D292" t="inlineStr">
        <is>
          <t>Schools</t>
        </is>
      </c>
      <c r="E292" s="14" t="n">
        <v>844</v>
      </c>
    </row>
    <row r="293">
      <c r="A293" t="inlineStr">
        <is>
          <t>Mannar</t>
        </is>
      </c>
      <c r="B293" t="inlineStr">
        <is>
          <t>Northern</t>
        </is>
      </c>
      <c r="C293" t="n">
        <v>2023</v>
      </c>
      <c r="D293" t="inlineStr">
        <is>
          <t>Internet users (%)</t>
        </is>
      </c>
      <c r="E293" s="15" t="n">
        <v>55.8</v>
      </c>
    </row>
    <row r="294">
      <c r="A294" t="inlineStr">
        <is>
          <t>Mannar</t>
        </is>
      </c>
      <c r="B294" t="inlineStr">
        <is>
          <t>Northern</t>
        </is>
      </c>
      <c r="C294" t="n">
        <v>2023</v>
      </c>
      <c r="D294" t="inlineStr">
        <is>
          <t>Households</t>
        </is>
      </c>
      <c r="E294" s="14" t="n">
        <v>197802</v>
      </c>
    </row>
    <row r="295">
      <c r="A295" t="inlineStr">
        <is>
          <t>Mannar</t>
        </is>
      </c>
      <c r="B295" t="inlineStr">
        <is>
          <t>Northern</t>
        </is>
      </c>
      <c r="C295" t="n">
        <v>2023</v>
      </c>
      <c r="D295" t="inlineStr">
        <is>
          <t>Avg. monthly income (Rs)</t>
        </is>
      </c>
      <c r="E295" s="14" t="n">
        <v>58423</v>
      </c>
    </row>
    <row r="296">
      <c r="A296" t="inlineStr">
        <is>
          <t>Mannar</t>
        </is>
      </c>
      <c r="B296" t="inlineStr">
        <is>
          <t>Northern</t>
        </is>
      </c>
      <c r="C296" t="n">
        <v>2024</v>
      </c>
      <c r="D296" t="inlineStr">
        <is>
          <t>Population</t>
        </is>
      </c>
      <c r="E296" s="14" t="n">
        <v>735528</v>
      </c>
    </row>
    <row r="297">
      <c r="A297" t="inlineStr">
        <is>
          <t>Mannar</t>
        </is>
      </c>
      <c r="B297" t="inlineStr">
        <is>
          <t>Northern</t>
        </is>
      </c>
      <c r="C297" t="n">
        <v>2024</v>
      </c>
      <c r="D297" t="inlineStr">
        <is>
          <t>Schools</t>
        </is>
      </c>
      <c r="E297" s="14" t="n">
        <v>846</v>
      </c>
    </row>
    <row r="298">
      <c r="A298" t="inlineStr">
        <is>
          <t>Mannar</t>
        </is>
      </c>
      <c r="B298" t="inlineStr">
        <is>
          <t>Northern</t>
        </is>
      </c>
      <c r="C298" t="n">
        <v>2024</v>
      </c>
      <c r="D298" t="inlineStr">
        <is>
          <t>Internet users (%)</t>
        </is>
      </c>
      <c r="E298" s="15" t="n">
        <v>58.5</v>
      </c>
    </row>
    <row r="299">
      <c r="A299" t="inlineStr">
        <is>
          <t>Mannar</t>
        </is>
      </c>
      <c r="B299" t="inlineStr">
        <is>
          <t>Northern</t>
        </is>
      </c>
      <c r="C299" t="n">
        <v>2024</v>
      </c>
      <c r="D299" t="inlineStr">
        <is>
          <t>Households</t>
        </is>
      </c>
      <c r="E299" s="14" t="n">
        <v>198689</v>
      </c>
    </row>
    <row r="300">
      <c r="A300" t="inlineStr">
        <is>
          <t>Mannar</t>
        </is>
      </c>
      <c r="B300" t="inlineStr">
        <is>
          <t>Northern</t>
        </is>
      </c>
      <c r="C300" t="n">
        <v>2024</v>
      </c>
      <c r="D300" t="inlineStr">
        <is>
          <t>Avg. monthly income (Rs)</t>
        </is>
      </c>
      <c r="E300" s="14" t="n">
        <v>65089</v>
      </c>
    </row>
    <row r="301">
      <c r="A301" t="inlineStr">
        <is>
          <t>Mannar</t>
        </is>
      </c>
      <c r="B301" t="inlineStr">
        <is>
          <t>Northern</t>
        </is>
      </c>
      <c r="C301" t="n">
        <v>2025</v>
      </c>
      <c r="D301" t="inlineStr">
        <is>
          <t>Population</t>
        </is>
      </c>
      <c r="E301" s="14" t="n">
        <v>741554</v>
      </c>
    </row>
    <row r="302">
      <c r="A302" t="inlineStr">
        <is>
          <t>Mannar</t>
        </is>
      </c>
      <c r="B302" t="inlineStr">
        <is>
          <t>Northern</t>
        </is>
      </c>
      <c r="C302" t="n">
        <v>2025</v>
      </c>
      <c r="D302" t="inlineStr">
        <is>
          <t>Schools</t>
        </is>
      </c>
      <c r="E302" s="14" t="n">
        <v>868</v>
      </c>
    </row>
    <row r="303">
      <c r="A303" t="inlineStr">
        <is>
          <t>Mannar</t>
        </is>
      </c>
      <c r="B303" t="inlineStr">
        <is>
          <t>Northern</t>
        </is>
      </c>
      <c r="C303" t="n">
        <v>2025</v>
      </c>
      <c r="D303" t="inlineStr">
        <is>
          <t>Internet users (%)</t>
        </is>
      </c>
      <c r="E303" s="15" t="n">
        <v>63.9</v>
      </c>
    </row>
    <row r="304">
      <c r="A304" t="inlineStr">
        <is>
          <t>Mannar</t>
        </is>
      </c>
      <c r="B304" t="inlineStr">
        <is>
          <t>Northern</t>
        </is>
      </c>
      <c r="C304" t="n">
        <v>2025</v>
      </c>
      <c r="D304" t="inlineStr">
        <is>
          <t>Households</t>
        </is>
      </c>
      <c r="E304" s="14" t="n">
        <v>181961</v>
      </c>
    </row>
    <row r="305">
      <c r="A305" t="inlineStr">
        <is>
          <t>Mannar</t>
        </is>
      </c>
      <c r="B305" t="inlineStr">
        <is>
          <t>Northern</t>
        </is>
      </c>
      <c r="C305" t="n">
        <v>2025</v>
      </c>
      <c r="D305" t="inlineStr">
        <is>
          <t>Avg. monthly income (Rs)</t>
        </is>
      </c>
      <c r="E305" s="14" t="n">
        <v>61435</v>
      </c>
    </row>
    <row r="306">
      <c r="A306" t="inlineStr">
        <is>
          <t>Vavuniya</t>
        </is>
      </c>
      <c r="B306" t="inlineStr">
        <is>
          <t>Northern</t>
        </is>
      </c>
      <c r="C306" t="n">
        <v>2021</v>
      </c>
      <c r="D306" t="inlineStr">
        <is>
          <t>Population</t>
        </is>
      </c>
      <c r="E306" s="14" t="n">
        <v>2334911</v>
      </c>
    </row>
    <row r="307">
      <c r="A307" t="inlineStr">
        <is>
          <t>Vavuniya</t>
        </is>
      </c>
      <c r="B307" t="inlineStr">
        <is>
          <t>Northern</t>
        </is>
      </c>
      <c r="C307" t="n">
        <v>2021</v>
      </c>
      <c r="D307" t="inlineStr">
        <is>
          <t>Schools</t>
        </is>
      </c>
      <c r="E307" s="14" t="n">
        <v>182</v>
      </c>
    </row>
    <row r="308">
      <c r="A308" t="inlineStr">
        <is>
          <t>Vavuniya</t>
        </is>
      </c>
      <c r="B308" t="inlineStr">
        <is>
          <t>Northern</t>
        </is>
      </c>
      <c r="C308" t="n">
        <v>2021</v>
      </c>
      <c r="D308" t="inlineStr">
        <is>
          <t>Internet users (%)</t>
        </is>
      </c>
      <c r="E308" s="15" t="n">
        <v>51.2</v>
      </c>
    </row>
    <row r="309">
      <c r="A309" t="inlineStr">
        <is>
          <t>Vavuniya</t>
        </is>
      </c>
      <c r="B309" t="inlineStr">
        <is>
          <t>Northern</t>
        </is>
      </c>
      <c r="C309" t="n">
        <v>2021</v>
      </c>
      <c r="D309" t="inlineStr">
        <is>
          <t>Households</t>
        </is>
      </c>
      <c r="E309" s="14" t="n">
        <v>631140</v>
      </c>
    </row>
    <row r="310">
      <c r="A310" t="inlineStr">
        <is>
          <t>Vavuniya</t>
        </is>
      </c>
      <c r="B310" t="inlineStr">
        <is>
          <t>Northern</t>
        </is>
      </c>
      <c r="C310" t="n">
        <v>2021</v>
      </c>
      <c r="D310" t="inlineStr">
        <is>
          <t>Avg. monthly income (Rs)</t>
        </is>
      </c>
      <c r="E310" s="14" t="n">
        <v>95089</v>
      </c>
    </row>
    <row r="311">
      <c r="A311" t="inlineStr">
        <is>
          <t>Vavuniya</t>
        </is>
      </c>
      <c r="B311" t="inlineStr">
        <is>
          <t>Northern</t>
        </is>
      </c>
      <c r="C311" t="n">
        <v>2022</v>
      </c>
      <c r="D311" t="inlineStr">
        <is>
          <t>Population</t>
        </is>
      </c>
      <c r="E311" s="14" t="n">
        <v>2373688</v>
      </c>
    </row>
    <row r="312">
      <c r="A312" t="inlineStr">
        <is>
          <t>Vavuniya</t>
        </is>
      </c>
      <c r="B312" t="inlineStr">
        <is>
          <t>Northern</t>
        </is>
      </c>
      <c r="C312" t="n">
        <v>2022</v>
      </c>
      <c r="D312" t="inlineStr">
        <is>
          <t>Schools</t>
        </is>
      </c>
      <c r="E312" s="14" t="n">
        <v>186</v>
      </c>
    </row>
    <row r="313">
      <c r="A313" t="inlineStr">
        <is>
          <t>Vavuniya</t>
        </is>
      </c>
      <c r="B313" t="inlineStr">
        <is>
          <t>Northern</t>
        </is>
      </c>
      <c r="C313" t="n">
        <v>2022</v>
      </c>
      <c r="D313" t="inlineStr">
        <is>
          <t>Internet users (%)</t>
        </is>
      </c>
      <c r="E313" s="15" t="n">
        <v>53.9</v>
      </c>
    </row>
    <row r="314">
      <c r="A314" t="inlineStr">
        <is>
          <t>Vavuniya</t>
        </is>
      </c>
      <c r="B314" t="inlineStr">
        <is>
          <t>Northern</t>
        </is>
      </c>
      <c r="C314" t="n">
        <v>2022</v>
      </c>
      <c r="D314" t="inlineStr">
        <is>
          <t>Households</t>
        </is>
      </c>
      <c r="E314" s="14" t="n">
        <v>588134</v>
      </c>
    </row>
    <row r="315">
      <c r="A315" t="inlineStr">
        <is>
          <t>Vavuniya</t>
        </is>
      </c>
      <c r="B315" t="inlineStr">
        <is>
          <t>Northern</t>
        </is>
      </c>
      <c r="C315" t="n">
        <v>2022</v>
      </c>
      <c r="D315" t="inlineStr">
        <is>
          <t>Avg. monthly income (Rs)</t>
        </is>
      </c>
      <c r="E315" s="14" t="n">
        <v>104789</v>
      </c>
    </row>
    <row r="316">
      <c r="A316" t="inlineStr">
        <is>
          <t>Vavuniya</t>
        </is>
      </c>
      <c r="B316" t="inlineStr">
        <is>
          <t>Northern</t>
        </is>
      </c>
      <c r="C316" t="n">
        <v>2023</v>
      </c>
      <c r="D316" t="inlineStr">
        <is>
          <t>Population</t>
        </is>
      </c>
      <c r="E316" s="14" t="n">
        <v>2413109</v>
      </c>
    </row>
    <row r="317">
      <c r="A317" t="inlineStr">
        <is>
          <t>Vavuniya</t>
        </is>
      </c>
      <c r="B317" t="inlineStr">
        <is>
          <t>Northern</t>
        </is>
      </c>
      <c r="C317" t="n">
        <v>2023</v>
      </c>
      <c r="D317" t="inlineStr">
        <is>
          <t>Schools</t>
        </is>
      </c>
      <c r="E317" s="14" t="n">
        <v>178</v>
      </c>
    </row>
    <row r="318">
      <c r="A318" t="inlineStr">
        <is>
          <t>Vavuniya</t>
        </is>
      </c>
      <c r="B318" t="inlineStr">
        <is>
          <t>Northern</t>
        </is>
      </c>
      <c r="C318" t="n">
        <v>2023</v>
      </c>
      <c r="D318" t="inlineStr">
        <is>
          <t>Internet users (%)</t>
        </is>
      </c>
      <c r="E318" s="15" t="n">
        <v>54.6</v>
      </c>
    </row>
    <row r="319">
      <c r="A319" t="inlineStr">
        <is>
          <t>Vavuniya</t>
        </is>
      </c>
      <c r="B319" t="inlineStr">
        <is>
          <t>Northern</t>
        </is>
      </c>
      <c r="C319" t="n">
        <v>2023</v>
      </c>
      <c r="D319" t="inlineStr">
        <is>
          <t>Households</t>
        </is>
      </c>
      <c r="E319" s="14" t="n">
        <v>596283</v>
      </c>
    </row>
    <row r="320">
      <c r="A320" t="inlineStr">
        <is>
          <t>Vavuniya</t>
        </is>
      </c>
      <c r="B320" t="inlineStr">
        <is>
          <t>Northern</t>
        </is>
      </c>
      <c r="C320" t="n">
        <v>2023</v>
      </c>
      <c r="D320" t="inlineStr">
        <is>
          <t>Avg. monthly income (Rs)</t>
        </is>
      </c>
      <c r="E320" s="14" t="n">
        <v>116652</v>
      </c>
    </row>
    <row r="321">
      <c r="A321" t="inlineStr">
        <is>
          <t>Vavuniya</t>
        </is>
      </c>
      <c r="B321" t="inlineStr">
        <is>
          <t>Northern</t>
        </is>
      </c>
      <c r="C321" t="n">
        <v>2024</v>
      </c>
      <c r="D321" t="inlineStr">
        <is>
          <t>Population</t>
        </is>
      </c>
      <c r="E321" s="14" t="n">
        <v>2453185</v>
      </c>
    </row>
    <row r="322">
      <c r="A322" t="inlineStr">
        <is>
          <t>Vavuniya</t>
        </is>
      </c>
      <c r="B322" t="inlineStr">
        <is>
          <t>Northern</t>
        </is>
      </c>
      <c r="C322" t="n">
        <v>2024</v>
      </c>
      <c r="D322" t="inlineStr">
        <is>
          <t>Schools</t>
        </is>
      </c>
      <c r="E322" s="14" t="n">
        <v>182</v>
      </c>
    </row>
    <row r="323">
      <c r="A323" t="inlineStr">
        <is>
          <t>Vavuniya</t>
        </is>
      </c>
      <c r="B323" t="inlineStr">
        <is>
          <t>Northern</t>
        </is>
      </c>
      <c r="C323" t="n">
        <v>2024</v>
      </c>
      <c r="D323" t="inlineStr">
        <is>
          <t>Internet users (%)</t>
        </is>
      </c>
      <c r="E323" s="15" t="n">
        <v>62.8</v>
      </c>
    </row>
    <row r="324">
      <c r="A324" t="inlineStr">
        <is>
          <t>Vavuniya</t>
        </is>
      </c>
      <c r="B324" t="inlineStr">
        <is>
          <t>Northern</t>
        </is>
      </c>
      <c r="C324" t="n">
        <v>2024</v>
      </c>
      <c r="D324" t="inlineStr">
        <is>
          <t>Households</t>
        </is>
      </c>
      <c r="E324" s="14" t="n">
        <v>635117</v>
      </c>
    </row>
    <row r="325">
      <c r="A325" t="inlineStr">
        <is>
          <t>Vavuniya</t>
        </is>
      </c>
      <c r="B325" t="inlineStr">
        <is>
          <t>Northern</t>
        </is>
      </c>
      <c r="C325" t="n">
        <v>2024</v>
      </c>
      <c r="D325" t="inlineStr">
        <is>
          <t>Avg. monthly income (Rs)</t>
        </is>
      </c>
      <c r="E325" s="14" t="n">
        <v>105727</v>
      </c>
    </row>
    <row r="326">
      <c r="A326" t="inlineStr">
        <is>
          <t>Vavuniya</t>
        </is>
      </c>
      <c r="B326" t="inlineStr">
        <is>
          <t>Northern</t>
        </is>
      </c>
      <c r="C326" t="n">
        <v>2025</v>
      </c>
      <c r="D326" t="inlineStr">
        <is>
          <t>Population</t>
        </is>
      </c>
      <c r="E326" s="14" t="n">
        <v>2493927</v>
      </c>
    </row>
    <row r="327">
      <c r="A327" t="inlineStr">
        <is>
          <t>Vavuniya</t>
        </is>
      </c>
      <c r="B327" t="inlineStr">
        <is>
          <t>Northern</t>
        </is>
      </c>
      <c r="C327" t="n">
        <v>2025</v>
      </c>
      <c r="D327" t="inlineStr">
        <is>
          <t>Schools</t>
        </is>
      </c>
      <c r="E327" s="14" t="n">
        <v>186</v>
      </c>
    </row>
    <row r="328">
      <c r="A328" t="inlineStr">
        <is>
          <t>Vavuniya</t>
        </is>
      </c>
      <c r="B328" t="inlineStr">
        <is>
          <t>Northern</t>
        </is>
      </c>
      <c r="C328" t="n">
        <v>2025</v>
      </c>
      <c r="D328" t="inlineStr">
        <is>
          <t>Internet users (%)</t>
        </is>
      </c>
      <c r="E328" s="15" t="n">
        <v>67.3</v>
      </c>
    </row>
    <row r="329">
      <c r="A329" t="inlineStr">
        <is>
          <t>Vavuniya</t>
        </is>
      </c>
      <c r="B329" t="inlineStr">
        <is>
          <t>Northern</t>
        </is>
      </c>
      <c r="C329" t="n">
        <v>2025</v>
      </c>
      <c r="D329" t="inlineStr">
        <is>
          <t>Households</t>
        </is>
      </c>
      <c r="E329" s="14" t="n">
        <v>582691</v>
      </c>
    </row>
    <row r="330">
      <c r="A330" t="inlineStr">
        <is>
          <t>Vavuniya</t>
        </is>
      </c>
      <c r="B330" t="inlineStr">
        <is>
          <t>Northern</t>
        </is>
      </c>
      <c r="C330" t="n">
        <v>2025</v>
      </c>
      <c r="D330" t="inlineStr">
        <is>
          <t>Avg. monthly income (Rs)</t>
        </is>
      </c>
      <c r="E330" s="14" t="n">
        <v>128643</v>
      </c>
    </row>
    <row r="331">
      <c r="A331" t="inlineStr">
        <is>
          <t>Mullaitivu</t>
        </is>
      </c>
      <c r="B331" t="inlineStr">
        <is>
          <t>Northern</t>
        </is>
      </c>
      <c r="C331" t="n">
        <v>2021</v>
      </c>
      <c r="D331" t="inlineStr">
        <is>
          <t>Population</t>
        </is>
      </c>
      <c r="E331" s="14" t="n">
        <v>1250653</v>
      </c>
    </row>
    <row r="332">
      <c r="A332" t="inlineStr">
        <is>
          <t>Mullaitivu</t>
        </is>
      </c>
      <c r="B332" t="inlineStr">
        <is>
          <t>Northern</t>
        </is>
      </c>
      <c r="C332" t="n">
        <v>2021</v>
      </c>
      <c r="D332" t="inlineStr">
        <is>
          <t>Schools</t>
        </is>
      </c>
      <c r="E332" s="14" t="n">
        <v>659</v>
      </c>
    </row>
    <row r="333">
      <c r="A333" t="inlineStr">
        <is>
          <t>Mullaitivu</t>
        </is>
      </c>
      <c r="B333" t="inlineStr">
        <is>
          <t>Northern</t>
        </is>
      </c>
      <c r="C333" t="n">
        <v>2021</v>
      </c>
      <c r="D333" t="inlineStr">
        <is>
          <t>Internet users (%)</t>
        </is>
      </c>
      <c r="E333" s="15" t="n">
        <v>21.3</v>
      </c>
    </row>
    <row r="334">
      <c r="A334" t="inlineStr">
        <is>
          <t>Mullaitivu</t>
        </is>
      </c>
      <c r="B334" t="inlineStr">
        <is>
          <t>Northern</t>
        </is>
      </c>
      <c r="C334" t="n">
        <v>2021</v>
      </c>
      <c r="D334" t="inlineStr">
        <is>
          <t>Households</t>
        </is>
      </c>
      <c r="E334" s="14" t="n">
        <v>337739</v>
      </c>
    </row>
    <row r="335">
      <c r="A335" t="inlineStr">
        <is>
          <t>Mullaitivu</t>
        </is>
      </c>
      <c r="B335" t="inlineStr">
        <is>
          <t>Northern</t>
        </is>
      </c>
      <c r="C335" t="n">
        <v>2021</v>
      </c>
      <c r="D335" t="inlineStr">
        <is>
          <t>Avg. monthly income (Rs)</t>
        </is>
      </c>
      <c r="E335" s="14" t="n">
        <v>75318</v>
      </c>
    </row>
    <row r="336">
      <c r="A336" t="inlineStr">
        <is>
          <t>Mullaitivu</t>
        </is>
      </c>
      <c r="B336" t="inlineStr">
        <is>
          <t>Northern</t>
        </is>
      </c>
      <c r="C336" t="n">
        <v>2022</v>
      </c>
      <c r="D336" t="inlineStr">
        <is>
          <t>Population</t>
        </is>
      </c>
      <c r="E336" s="14" t="n">
        <v>1266019</v>
      </c>
    </row>
    <row r="337">
      <c r="A337" t="inlineStr">
        <is>
          <t>Mullaitivu</t>
        </is>
      </c>
      <c r="B337" t="inlineStr">
        <is>
          <t>Northern</t>
        </is>
      </c>
      <c r="C337" t="n">
        <v>2022</v>
      </c>
      <c r="D337" t="inlineStr">
        <is>
          <t>Schools</t>
        </is>
      </c>
      <c r="E337" s="14" t="n">
        <v>663</v>
      </c>
    </row>
    <row r="338">
      <c r="A338" t="inlineStr">
        <is>
          <t>Mullaitivu</t>
        </is>
      </c>
      <c r="B338" t="inlineStr">
        <is>
          <t>Northern</t>
        </is>
      </c>
      <c r="C338" t="n">
        <v>2022</v>
      </c>
      <c r="D338" t="inlineStr">
        <is>
          <t>Internet users (%)</t>
        </is>
      </c>
      <c r="E338" s="15" t="n">
        <v>22.8</v>
      </c>
    </row>
    <row r="339">
      <c r="A339" t="inlineStr">
        <is>
          <t>Mullaitivu</t>
        </is>
      </c>
      <c r="B339" t="inlineStr">
        <is>
          <t>Northern</t>
        </is>
      </c>
      <c r="C339" t="n">
        <v>2022</v>
      </c>
      <c r="D339" t="inlineStr">
        <is>
          <t>Households</t>
        </is>
      </c>
      <c r="E339" s="14" t="n">
        <v>321751</v>
      </c>
    </row>
    <row r="340">
      <c r="A340" t="inlineStr">
        <is>
          <t>Mullaitivu</t>
        </is>
      </c>
      <c r="B340" t="inlineStr">
        <is>
          <t>Northern</t>
        </is>
      </c>
      <c r="C340" t="n">
        <v>2022</v>
      </c>
      <c r="D340" t="inlineStr">
        <is>
          <t>Avg. monthly income (Rs)</t>
        </is>
      </c>
      <c r="E340" s="14" t="n">
        <v>81665</v>
      </c>
    </row>
    <row r="341">
      <c r="A341" t="inlineStr">
        <is>
          <t>Mullaitivu</t>
        </is>
      </c>
      <c r="B341" t="inlineStr">
        <is>
          <t>Northern</t>
        </is>
      </c>
      <c r="C341" t="n">
        <v>2023</v>
      </c>
      <c r="D341" t="inlineStr">
        <is>
          <t>Population</t>
        </is>
      </c>
      <c r="E341" s="14" t="n">
        <v>1281575</v>
      </c>
    </row>
    <row r="342">
      <c r="A342" t="inlineStr">
        <is>
          <t>Mullaitivu</t>
        </is>
      </c>
      <c r="B342" t="inlineStr">
        <is>
          <t>Northern</t>
        </is>
      </c>
      <c r="C342" t="n">
        <v>2023</v>
      </c>
      <c r="D342" t="inlineStr">
        <is>
          <t>Schools</t>
        </is>
      </c>
      <c r="E342" s="14" t="n">
        <v>661</v>
      </c>
    </row>
    <row r="343">
      <c r="A343" t="inlineStr">
        <is>
          <t>Mullaitivu</t>
        </is>
      </c>
      <c r="B343" t="inlineStr">
        <is>
          <t>Northern</t>
        </is>
      </c>
      <c r="C343" t="n">
        <v>2023</v>
      </c>
      <c r="D343" t="inlineStr">
        <is>
          <t>Internet users (%)</t>
        </is>
      </c>
      <c r="E343" s="15" t="n">
        <v>26.9</v>
      </c>
    </row>
    <row r="344">
      <c r="A344" t="inlineStr">
        <is>
          <t>Mullaitivu</t>
        </is>
      </c>
      <c r="B344" t="inlineStr">
        <is>
          <t>Northern</t>
        </is>
      </c>
      <c r="C344" t="n">
        <v>2023</v>
      </c>
      <c r="D344" t="inlineStr">
        <is>
          <t>Households</t>
        </is>
      </c>
      <c r="E344" s="14" t="n">
        <v>350000</v>
      </c>
    </row>
    <row r="345">
      <c r="A345" t="inlineStr">
        <is>
          <t>Mullaitivu</t>
        </is>
      </c>
      <c r="B345" t="inlineStr">
        <is>
          <t>Northern</t>
        </is>
      </c>
      <c r="C345" t="n">
        <v>2023</v>
      </c>
      <c r="D345" t="inlineStr">
        <is>
          <t>Avg. monthly income (Rs)</t>
        </is>
      </c>
      <c r="E345" s="14" t="n">
        <v>91368</v>
      </c>
    </row>
    <row r="346">
      <c r="A346" t="inlineStr">
        <is>
          <t>Mullaitivu</t>
        </is>
      </c>
      <c r="B346" t="inlineStr">
        <is>
          <t>Northern</t>
        </is>
      </c>
      <c r="C346" t="n">
        <v>2024</v>
      </c>
      <c r="D346" t="inlineStr">
        <is>
          <t>Population</t>
        </is>
      </c>
      <c r="E346" s="14" t="n">
        <v>1297321</v>
      </c>
    </row>
    <row r="347">
      <c r="A347" t="inlineStr">
        <is>
          <t>Mullaitivu</t>
        </is>
      </c>
      <c r="B347" t="inlineStr">
        <is>
          <t>Northern</t>
        </is>
      </c>
      <c r="C347" t="n">
        <v>2024</v>
      </c>
      <c r="D347" t="inlineStr">
        <is>
          <t>Schools</t>
        </is>
      </c>
      <c r="E347" s="14" t="n">
        <v>677</v>
      </c>
    </row>
    <row r="348">
      <c r="A348" t="inlineStr">
        <is>
          <t>Mullaitivu</t>
        </is>
      </c>
      <c r="B348" t="inlineStr">
        <is>
          <t>Northern</t>
        </is>
      </c>
      <c r="C348" t="n">
        <v>2024</v>
      </c>
      <c r="D348" t="inlineStr">
        <is>
          <t>Internet users (%)</t>
        </is>
      </c>
      <c r="E348" s="15" t="n">
        <v>26.5</v>
      </c>
    </row>
    <row r="349">
      <c r="A349" t="inlineStr">
        <is>
          <t>Mullaitivu</t>
        </is>
      </c>
      <c r="B349" t="inlineStr">
        <is>
          <t>Northern</t>
        </is>
      </c>
      <c r="C349" t="n">
        <v>2024</v>
      </c>
      <c r="D349" t="inlineStr">
        <is>
          <t>Households</t>
        </is>
      </c>
      <c r="E349" s="14" t="n">
        <v>343644</v>
      </c>
    </row>
    <row r="350">
      <c r="A350" t="inlineStr">
        <is>
          <t>Mullaitivu</t>
        </is>
      </c>
      <c r="B350" t="inlineStr">
        <is>
          <t>Northern</t>
        </is>
      </c>
      <c r="C350" t="n">
        <v>2024</v>
      </c>
      <c r="D350" t="inlineStr">
        <is>
          <t>Avg. monthly income (Rs)</t>
        </is>
      </c>
      <c r="E350" s="14" t="n">
        <v>85279</v>
      </c>
    </row>
    <row r="351">
      <c r="A351" t="inlineStr">
        <is>
          <t>Mullaitivu</t>
        </is>
      </c>
      <c r="B351" t="inlineStr">
        <is>
          <t>Northern</t>
        </is>
      </c>
      <c r="C351" t="n">
        <v>2025</v>
      </c>
      <c r="D351" t="inlineStr">
        <is>
          <t>Population</t>
        </is>
      </c>
      <c r="E351" s="14" t="n">
        <v>1313261</v>
      </c>
    </row>
    <row r="352">
      <c r="A352" t="inlineStr">
        <is>
          <t>Mullaitivu</t>
        </is>
      </c>
      <c r="B352" t="inlineStr">
        <is>
          <t>Northern</t>
        </is>
      </c>
      <c r="C352" t="n">
        <v>2025</v>
      </c>
      <c r="D352" t="inlineStr">
        <is>
          <t>Schools</t>
        </is>
      </c>
      <c r="E352" s="14" t="n">
        <v>691</v>
      </c>
    </row>
    <row r="353">
      <c r="A353" t="inlineStr">
        <is>
          <t>Mullaitivu</t>
        </is>
      </c>
      <c r="B353" t="inlineStr">
        <is>
          <t>Northern</t>
        </is>
      </c>
      <c r="C353" t="n">
        <v>2025</v>
      </c>
      <c r="D353" t="inlineStr">
        <is>
          <t>Internet users (%)</t>
        </is>
      </c>
      <c r="E353" s="15" t="n">
        <v>34.3</v>
      </c>
    </row>
    <row r="354">
      <c r="A354" t="inlineStr">
        <is>
          <t>Mullaitivu</t>
        </is>
      </c>
      <c r="B354" t="inlineStr">
        <is>
          <t>Northern</t>
        </is>
      </c>
      <c r="C354" t="n">
        <v>2025</v>
      </c>
      <c r="D354" t="inlineStr">
        <is>
          <t>Households</t>
        </is>
      </c>
      <c r="E354" s="14" t="n">
        <v>313933</v>
      </c>
    </row>
    <row r="355">
      <c r="A355" t="inlineStr">
        <is>
          <t>Mullaitivu</t>
        </is>
      </c>
      <c r="B355" t="inlineStr">
        <is>
          <t>Northern</t>
        </is>
      </c>
      <c r="C355" t="n">
        <v>2025</v>
      </c>
      <c r="D355" t="inlineStr">
        <is>
          <t>Avg. monthly income (Rs)</t>
        </is>
      </c>
      <c r="E355" s="14" t="n">
        <v>89858</v>
      </c>
    </row>
    <row r="356">
      <c r="A356" t="inlineStr">
        <is>
          <t>Batticaloa</t>
        </is>
      </c>
      <c r="B356" t="inlineStr">
        <is>
          <t>Eastern</t>
        </is>
      </c>
      <c r="C356" t="n">
        <v>2021</v>
      </c>
      <c r="D356" t="inlineStr">
        <is>
          <t>Population</t>
        </is>
      </c>
      <c r="E356" s="14" t="n">
        <v>247811</v>
      </c>
    </row>
    <row r="357">
      <c r="A357" t="inlineStr">
        <is>
          <t>Batticaloa</t>
        </is>
      </c>
      <c r="B357" t="inlineStr">
        <is>
          <t>Eastern</t>
        </is>
      </c>
      <c r="C357" t="n">
        <v>2021</v>
      </c>
      <c r="D357" t="inlineStr">
        <is>
          <t>Schools</t>
        </is>
      </c>
      <c r="E357" s="14" t="n">
        <v>223</v>
      </c>
    </row>
    <row r="358">
      <c r="A358" t="inlineStr">
        <is>
          <t>Batticaloa</t>
        </is>
      </c>
      <c r="B358" t="inlineStr">
        <is>
          <t>Eastern</t>
        </is>
      </c>
      <c r="C358" t="n">
        <v>2021</v>
      </c>
      <c r="D358" t="inlineStr">
        <is>
          <t>Internet users (%)</t>
        </is>
      </c>
      <c r="E358" s="15" t="n">
        <v>46.9</v>
      </c>
    </row>
    <row r="359">
      <c r="A359" t="inlineStr">
        <is>
          <t>Batticaloa</t>
        </is>
      </c>
      <c r="B359" t="inlineStr">
        <is>
          <t>Eastern</t>
        </is>
      </c>
      <c r="C359" t="n">
        <v>2021</v>
      </c>
      <c r="D359" t="inlineStr">
        <is>
          <t>Households</t>
        </is>
      </c>
      <c r="E359" s="14" t="n">
        <v>63494</v>
      </c>
    </row>
    <row r="360">
      <c r="A360" t="inlineStr">
        <is>
          <t>Batticaloa</t>
        </is>
      </c>
      <c r="B360" t="inlineStr">
        <is>
          <t>Eastern</t>
        </is>
      </c>
      <c r="C360" t="n">
        <v>2021</v>
      </c>
      <c r="D360" t="inlineStr">
        <is>
          <t>Avg. monthly income (Rs)</t>
        </is>
      </c>
      <c r="E360" s="14" t="n">
        <v>74000</v>
      </c>
    </row>
    <row r="361">
      <c r="A361" t="inlineStr">
        <is>
          <t>Batticaloa</t>
        </is>
      </c>
      <c r="B361" t="inlineStr">
        <is>
          <t>Eastern</t>
        </is>
      </c>
      <c r="C361" t="n">
        <v>2022</v>
      </c>
      <c r="D361" t="inlineStr">
        <is>
          <t>Population</t>
        </is>
      </c>
      <c r="E361" s="14" t="n">
        <v>250744</v>
      </c>
    </row>
    <row r="362">
      <c r="A362" t="inlineStr">
        <is>
          <t>Batticaloa</t>
        </is>
      </c>
      <c r="B362" t="inlineStr">
        <is>
          <t>Eastern</t>
        </is>
      </c>
      <c r="C362" t="n">
        <v>2022</v>
      </c>
      <c r="D362" t="inlineStr">
        <is>
          <t>Schools</t>
        </is>
      </c>
      <c r="E362" s="14" t="n">
        <v>229</v>
      </c>
    </row>
    <row r="363">
      <c r="A363" t="inlineStr">
        <is>
          <t>Batticaloa</t>
        </is>
      </c>
      <c r="B363" t="inlineStr">
        <is>
          <t>Eastern</t>
        </is>
      </c>
      <c r="C363" t="n">
        <v>2022</v>
      </c>
      <c r="D363" t="inlineStr">
        <is>
          <t>Internet users (%)</t>
        </is>
      </c>
      <c r="E363" s="15" t="n">
        <v>48.7</v>
      </c>
    </row>
    <row r="364">
      <c r="A364" t="inlineStr">
        <is>
          <t>Batticaloa</t>
        </is>
      </c>
      <c r="B364" t="inlineStr">
        <is>
          <t>Eastern</t>
        </is>
      </c>
      <c r="C364" t="n">
        <v>2022</v>
      </c>
      <c r="D364" t="inlineStr">
        <is>
          <t>Households</t>
        </is>
      </c>
      <c r="E364" s="14" t="n">
        <v>61850</v>
      </c>
    </row>
    <row r="365">
      <c r="A365" t="inlineStr">
        <is>
          <t>Batticaloa</t>
        </is>
      </c>
      <c r="B365" t="inlineStr">
        <is>
          <t>Eastern</t>
        </is>
      </c>
      <c r="C365" t="n">
        <v>2022</v>
      </c>
      <c r="D365" t="inlineStr">
        <is>
          <t>Avg. monthly income (Rs)</t>
        </is>
      </c>
      <c r="E365" s="14" t="n">
        <v>76945</v>
      </c>
    </row>
    <row r="366">
      <c r="A366" t="inlineStr">
        <is>
          <t>Batticaloa</t>
        </is>
      </c>
      <c r="B366" t="inlineStr">
        <is>
          <t>Eastern</t>
        </is>
      </c>
      <c r="C366" t="n">
        <v>2023</v>
      </c>
      <c r="D366" t="inlineStr">
        <is>
          <t>Population</t>
        </is>
      </c>
      <c r="E366" s="14" t="n">
        <v>253711</v>
      </c>
    </row>
    <row r="367">
      <c r="A367" t="inlineStr">
        <is>
          <t>Batticaloa</t>
        </is>
      </c>
      <c r="B367" t="inlineStr">
        <is>
          <t>Eastern</t>
        </is>
      </c>
      <c r="C367" t="n">
        <v>2023</v>
      </c>
      <c r="D367" t="inlineStr">
        <is>
          <t>Schools</t>
        </is>
      </c>
      <c r="E367" s="14" t="n">
        <v>225</v>
      </c>
    </row>
    <row r="368">
      <c r="A368" t="inlineStr">
        <is>
          <t>Batticaloa</t>
        </is>
      </c>
      <c r="B368" t="inlineStr">
        <is>
          <t>Eastern</t>
        </is>
      </c>
      <c r="C368" t="n">
        <v>2023</v>
      </c>
      <c r="D368" t="inlineStr">
        <is>
          <t>Internet users (%)</t>
        </is>
      </c>
      <c r="E368" s="15" t="n">
        <v>53</v>
      </c>
    </row>
    <row r="369">
      <c r="A369" t="inlineStr">
        <is>
          <t>Batticaloa</t>
        </is>
      </c>
      <c r="B369" t="inlineStr">
        <is>
          <t>Eastern</t>
        </is>
      </c>
      <c r="C369" t="n">
        <v>2023</v>
      </c>
      <c r="D369" t="inlineStr">
        <is>
          <t>Households</t>
        </is>
      </c>
      <c r="E369" s="14" t="n">
        <v>66516</v>
      </c>
    </row>
    <row r="370">
      <c r="A370" t="inlineStr">
        <is>
          <t>Batticaloa</t>
        </is>
      </c>
      <c r="B370" t="inlineStr">
        <is>
          <t>Eastern</t>
        </is>
      </c>
      <c r="C370" t="n">
        <v>2023</v>
      </c>
      <c r="D370" t="inlineStr">
        <is>
          <t>Avg. monthly income (Rs)</t>
        </is>
      </c>
      <c r="E370" s="14" t="n">
        <v>82050</v>
      </c>
    </row>
    <row r="371">
      <c r="A371" t="inlineStr">
        <is>
          <t>Batticaloa</t>
        </is>
      </c>
      <c r="B371" t="inlineStr">
        <is>
          <t>Eastern</t>
        </is>
      </c>
      <c r="C371" t="n">
        <v>2024</v>
      </c>
      <c r="D371" t="inlineStr">
        <is>
          <t>Population</t>
        </is>
      </c>
      <c r="E371" s="14" t="n">
        <v>256714</v>
      </c>
    </row>
    <row r="372">
      <c r="A372" t="inlineStr">
        <is>
          <t>Batticaloa</t>
        </is>
      </c>
      <c r="B372" t="inlineStr">
        <is>
          <t>Eastern</t>
        </is>
      </c>
      <c r="C372" t="n">
        <v>2024</v>
      </c>
      <c r="D372" t="inlineStr">
        <is>
          <t>Schools</t>
        </is>
      </c>
      <c r="E372" s="14" t="n">
        <v>250</v>
      </c>
    </row>
    <row r="373">
      <c r="A373" t="inlineStr">
        <is>
          <t>Batticaloa</t>
        </is>
      </c>
      <c r="B373" t="inlineStr">
        <is>
          <t>Eastern</t>
        </is>
      </c>
      <c r="C373" t="n">
        <v>2024</v>
      </c>
      <c r="D373" t="inlineStr">
        <is>
          <t>Internet users (%)</t>
        </is>
      </c>
      <c r="E373" s="15" t="n">
        <v>52.6</v>
      </c>
    </row>
    <row r="374">
      <c r="A374" t="inlineStr">
        <is>
          <t>Batticaloa</t>
        </is>
      </c>
      <c r="B374" t="inlineStr">
        <is>
          <t>Eastern</t>
        </is>
      </c>
      <c r="C374" t="n">
        <v>2024</v>
      </c>
      <c r="D374" t="inlineStr">
        <is>
          <t>Households</t>
        </is>
      </c>
      <c r="E374" s="14" t="n">
        <v>67067</v>
      </c>
    </row>
    <row r="375">
      <c r="A375" t="inlineStr">
        <is>
          <t>Batticaloa</t>
        </is>
      </c>
      <c r="B375" t="inlineStr">
        <is>
          <t>Eastern</t>
        </is>
      </c>
      <c r="C375" t="n">
        <v>2024</v>
      </c>
      <c r="D375" t="inlineStr">
        <is>
          <t>Avg. monthly income (Rs)</t>
        </is>
      </c>
      <c r="E375" s="14" t="n">
        <v>98200</v>
      </c>
    </row>
    <row r="376">
      <c r="A376" t="inlineStr">
        <is>
          <t>Batticaloa</t>
        </is>
      </c>
      <c r="B376" t="inlineStr">
        <is>
          <t>Eastern</t>
        </is>
      </c>
      <c r="C376" t="n">
        <v>2025</v>
      </c>
      <c r="D376" t="inlineStr">
        <is>
          <t>Population</t>
        </is>
      </c>
      <c r="E376" s="14" t="n">
        <v>259752</v>
      </c>
    </row>
    <row r="377">
      <c r="A377" t="inlineStr">
        <is>
          <t>Batticaloa</t>
        </is>
      </c>
      <c r="B377" t="inlineStr">
        <is>
          <t>Eastern</t>
        </is>
      </c>
      <c r="C377" t="n">
        <v>2025</v>
      </c>
      <c r="D377" t="inlineStr">
        <is>
          <t>Schools</t>
        </is>
      </c>
      <c r="E377" s="14" t="n">
        <v>227</v>
      </c>
    </row>
    <row r="378">
      <c r="A378" t="inlineStr">
        <is>
          <t>Batticaloa</t>
        </is>
      </c>
      <c r="B378" t="inlineStr">
        <is>
          <t>Eastern</t>
        </is>
      </c>
      <c r="C378" t="n">
        <v>2025</v>
      </c>
      <c r="D378" t="inlineStr">
        <is>
          <t>Internet users (%)</t>
        </is>
      </c>
      <c r="E378" s="15" t="n">
        <v>63.8</v>
      </c>
    </row>
    <row r="379">
      <c r="A379" t="inlineStr">
        <is>
          <t>Batticaloa</t>
        </is>
      </c>
      <c r="B379" t="inlineStr">
        <is>
          <t>Eastern</t>
        </is>
      </c>
      <c r="C379" t="n">
        <v>2025</v>
      </c>
      <c r="D379" t="inlineStr">
        <is>
          <t>Households</t>
        </is>
      </c>
      <c r="E379" s="14" t="n">
        <v>60797</v>
      </c>
    </row>
    <row r="380">
      <c r="A380" t="inlineStr">
        <is>
          <t>Batticaloa</t>
        </is>
      </c>
      <c r="B380" t="inlineStr">
        <is>
          <t>Eastern</t>
        </is>
      </c>
      <c r="C380" t="n">
        <v>2025</v>
      </c>
      <c r="D380" t="inlineStr">
        <is>
          <t>Avg. monthly income (Rs)</t>
        </is>
      </c>
      <c r="E380" s="14" t="n">
        <v>100077</v>
      </c>
    </row>
    <row r="381">
      <c r="A381" t="inlineStr">
        <is>
          <t>Ampara</t>
        </is>
      </c>
      <c r="B381" t="inlineStr">
        <is>
          <t>Eastern</t>
        </is>
      </c>
      <c r="C381" t="n">
        <v>2021</v>
      </c>
      <c r="D381" t="inlineStr">
        <is>
          <t>Population</t>
        </is>
      </c>
      <c r="E381" s="14" t="n">
        <v>249363</v>
      </c>
    </row>
    <row r="382">
      <c r="A382" t="inlineStr">
        <is>
          <t>Ampara</t>
        </is>
      </c>
      <c r="B382" t="inlineStr">
        <is>
          <t>Eastern</t>
        </is>
      </c>
      <c r="C382" t="n">
        <v>2021</v>
      </c>
      <c r="D382" t="inlineStr">
        <is>
          <t>Schools</t>
        </is>
      </c>
      <c r="E382" s="14" t="n">
        <v>698</v>
      </c>
    </row>
    <row r="383">
      <c r="A383" t="inlineStr">
        <is>
          <t>Ampara</t>
        </is>
      </c>
      <c r="B383" t="inlineStr">
        <is>
          <t>Eastern</t>
        </is>
      </c>
      <c r="C383" t="n">
        <v>2021</v>
      </c>
      <c r="D383" t="inlineStr">
        <is>
          <t>Internet users (%)</t>
        </is>
      </c>
      <c r="E383" s="15" t="n">
        <v>53.6</v>
      </c>
    </row>
    <row r="384">
      <c r="A384" t="inlineStr">
        <is>
          <t>Ampara</t>
        </is>
      </c>
      <c r="B384" t="inlineStr">
        <is>
          <t>Eastern</t>
        </is>
      </c>
      <c r="C384" t="n">
        <v>2021</v>
      </c>
      <c r="D384" t="inlineStr">
        <is>
          <t>Households</t>
        </is>
      </c>
      <c r="E384" s="14" t="n">
        <v>56926</v>
      </c>
    </row>
    <row r="385">
      <c r="A385" t="inlineStr">
        <is>
          <t>Ampara</t>
        </is>
      </c>
      <c r="B385" t="inlineStr">
        <is>
          <t>Eastern</t>
        </is>
      </c>
      <c r="C385" t="n">
        <v>2021</v>
      </c>
      <c r="D385" t="inlineStr">
        <is>
          <t>Avg. monthly income (Rs)</t>
        </is>
      </c>
      <c r="E385" s="14" t="n">
        <v>77974</v>
      </c>
    </row>
    <row r="386">
      <c r="A386" t="inlineStr">
        <is>
          <t>Ampara</t>
        </is>
      </c>
      <c r="B386" t="inlineStr">
        <is>
          <t>Eastern</t>
        </is>
      </c>
      <c r="C386" t="n">
        <v>2022</v>
      </c>
      <c r="D386" t="inlineStr">
        <is>
          <t>Population</t>
        </is>
      </c>
      <c r="E386" s="14" t="n">
        <v>251798</v>
      </c>
    </row>
    <row r="387">
      <c r="A387" t="inlineStr">
        <is>
          <t>Ampara</t>
        </is>
      </c>
      <c r="B387" t="inlineStr">
        <is>
          <t>Eastern</t>
        </is>
      </c>
      <c r="C387" t="n">
        <v>2022</v>
      </c>
      <c r="D387" t="inlineStr">
        <is>
          <t>Schools</t>
        </is>
      </c>
      <c r="E387" s="14" t="n">
        <v>705</v>
      </c>
    </row>
    <row r="388">
      <c r="A388" t="inlineStr">
        <is>
          <t>Ampara</t>
        </is>
      </c>
      <c r="B388" t="inlineStr">
        <is>
          <t>Eastern</t>
        </is>
      </c>
      <c r="C388" t="n">
        <v>2022</v>
      </c>
      <c r="D388" t="inlineStr">
        <is>
          <t>Internet users (%)</t>
        </is>
      </c>
      <c r="E388" s="15" t="n">
        <v>55.6</v>
      </c>
    </row>
    <row r="389">
      <c r="A389" t="inlineStr">
        <is>
          <t>Ampara</t>
        </is>
      </c>
      <c r="B389" t="inlineStr">
        <is>
          <t>Eastern</t>
        </is>
      </c>
      <c r="C389" t="n">
        <v>2022</v>
      </c>
      <c r="D389" t="inlineStr">
        <is>
          <t>Households</t>
        </is>
      </c>
      <c r="E389" s="14" t="n">
        <v>62107</v>
      </c>
    </row>
    <row r="390">
      <c r="A390" t="inlineStr">
        <is>
          <t>Ampara</t>
        </is>
      </c>
      <c r="B390" t="inlineStr">
        <is>
          <t>Eastern</t>
        </is>
      </c>
      <c r="C390" t="n">
        <v>2022</v>
      </c>
      <c r="D390" t="inlineStr">
        <is>
          <t>Avg. monthly income (Rs)</t>
        </is>
      </c>
      <c r="E390" s="14" t="n">
        <v>85438</v>
      </c>
    </row>
    <row r="391">
      <c r="A391" t="inlineStr">
        <is>
          <t>Ampara</t>
        </is>
      </c>
      <c r="B391" t="inlineStr">
        <is>
          <t>Eastern</t>
        </is>
      </c>
      <c r="C391" t="n">
        <v>2023</v>
      </c>
      <c r="D391" t="inlineStr">
        <is>
          <t>Population</t>
        </is>
      </c>
      <c r="E391" s="14" t="n">
        <v>254257</v>
      </c>
    </row>
    <row r="392">
      <c r="A392" t="inlineStr">
        <is>
          <t>Ampara</t>
        </is>
      </c>
      <c r="B392" t="inlineStr">
        <is>
          <t>Eastern</t>
        </is>
      </c>
      <c r="C392" t="n">
        <v>2023</v>
      </c>
      <c r="D392" t="inlineStr">
        <is>
          <t>Schools</t>
        </is>
      </c>
      <c r="E392" s="14" t="n">
        <v>708</v>
      </c>
    </row>
    <row r="393">
      <c r="A393" t="inlineStr">
        <is>
          <t>Ampara</t>
        </is>
      </c>
      <c r="B393" t="inlineStr">
        <is>
          <t>Eastern</t>
        </is>
      </c>
      <c r="C393" t="n">
        <v>2023</v>
      </c>
      <c r="D393" t="inlineStr">
        <is>
          <t>Internet users (%)</t>
        </is>
      </c>
      <c r="E393" s="15" t="n">
        <v>61.3</v>
      </c>
    </row>
    <row r="394">
      <c r="A394" t="inlineStr">
        <is>
          <t>Ampara</t>
        </is>
      </c>
      <c r="B394" t="inlineStr">
        <is>
          <t>Eastern</t>
        </is>
      </c>
      <c r="C394" t="n">
        <v>2023</v>
      </c>
      <c r="D394" t="inlineStr">
        <is>
          <t>Households</t>
        </is>
      </c>
      <c r="E394" s="14" t="n">
        <v>58036</v>
      </c>
    </row>
    <row r="395">
      <c r="A395" t="inlineStr">
        <is>
          <t>Ampara</t>
        </is>
      </c>
      <c r="B395" t="inlineStr">
        <is>
          <t>Eastern</t>
        </is>
      </c>
      <c r="C395" t="n">
        <v>2023</v>
      </c>
      <c r="D395" t="inlineStr">
        <is>
          <t>Avg. monthly income (Rs)</t>
        </is>
      </c>
      <c r="E395" s="14" t="n">
        <v>84092</v>
      </c>
    </row>
    <row r="396">
      <c r="A396" t="inlineStr">
        <is>
          <t>Ampara</t>
        </is>
      </c>
      <c r="B396" t="inlineStr">
        <is>
          <t>Eastern</t>
        </is>
      </c>
      <c r="C396" t="n">
        <v>2024</v>
      </c>
      <c r="D396" t="inlineStr">
        <is>
          <t>Population</t>
        </is>
      </c>
      <c r="E396" s="14" t="n">
        <v>256740</v>
      </c>
    </row>
    <row r="397">
      <c r="A397" t="inlineStr">
        <is>
          <t>Ampara</t>
        </is>
      </c>
      <c r="B397" t="inlineStr">
        <is>
          <t>Eastern</t>
        </is>
      </c>
      <c r="C397" t="n">
        <v>2024</v>
      </c>
      <c r="D397" t="inlineStr">
        <is>
          <t>Schools</t>
        </is>
      </c>
      <c r="E397" s="14" t="n">
        <v>722</v>
      </c>
    </row>
    <row r="398">
      <c r="A398" t="inlineStr">
        <is>
          <t>Ampara</t>
        </is>
      </c>
      <c r="B398" t="inlineStr">
        <is>
          <t>Eastern</t>
        </is>
      </c>
      <c r="C398" t="n">
        <v>2024</v>
      </c>
      <c r="D398" t="inlineStr">
        <is>
          <t>Internet users (%)</t>
        </is>
      </c>
      <c r="E398" s="15" t="n">
        <v>62.5</v>
      </c>
    </row>
    <row r="399">
      <c r="A399" t="inlineStr">
        <is>
          <t>Ampara</t>
        </is>
      </c>
      <c r="B399" t="inlineStr">
        <is>
          <t>Eastern</t>
        </is>
      </c>
      <c r="C399" t="n">
        <v>2024</v>
      </c>
      <c r="D399" t="inlineStr">
        <is>
          <t>Households</t>
        </is>
      </c>
      <c r="E399" s="14" t="n">
        <v>66472</v>
      </c>
    </row>
    <row r="400">
      <c r="A400" t="inlineStr">
        <is>
          <t>Ampara</t>
        </is>
      </c>
      <c r="B400" t="inlineStr">
        <is>
          <t>Eastern</t>
        </is>
      </c>
      <c r="C400" t="n">
        <v>2024</v>
      </c>
      <c r="D400" t="inlineStr">
        <is>
          <t>Avg. monthly income (Rs)</t>
        </is>
      </c>
      <c r="E400" s="14" t="n">
        <v>97181</v>
      </c>
    </row>
    <row r="401">
      <c r="A401" t="inlineStr">
        <is>
          <t>Ampara</t>
        </is>
      </c>
      <c r="B401" t="inlineStr">
        <is>
          <t>Eastern</t>
        </is>
      </c>
      <c r="C401" t="n">
        <v>2025</v>
      </c>
      <c r="D401" t="inlineStr">
        <is>
          <t>Population</t>
        </is>
      </c>
      <c r="E401" s="14" t="n">
        <v>259247</v>
      </c>
    </row>
    <row r="402">
      <c r="A402" t="inlineStr">
        <is>
          <t>Ampara</t>
        </is>
      </c>
      <c r="B402" t="inlineStr">
        <is>
          <t>Eastern</t>
        </is>
      </c>
      <c r="C402" t="n">
        <v>2025</v>
      </c>
      <c r="D402" t="inlineStr">
        <is>
          <t>Schools</t>
        </is>
      </c>
      <c r="E402" s="14" t="n">
        <v>714</v>
      </c>
    </row>
    <row r="403">
      <c r="A403" t="inlineStr">
        <is>
          <t>Ampara</t>
        </is>
      </c>
      <c r="B403" t="inlineStr">
        <is>
          <t>Eastern</t>
        </is>
      </c>
      <c r="C403" t="n">
        <v>2025</v>
      </c>
      <c r="D403" t="inlineStr">
        <is>
          <t>Internet users (%)</t>
        </is>
      </c>
      <c r="E403" s="15" t="n">
        <v>66.8</v>
      </c>
    </row>
    <row r="404">
      <c r="A404" t="inlineStr">
        <is>
          <t>Ampara</t>
        </is>
      </c>
      <c r="B404" t="inlineStr">
        <is>
          <t>Eastern</t>
        </is>
      </c>
      <c r="C404" t="n">
        <v>2025</v>
      </c>
      <c r="D404" t="inlineStr">
        <is>
          <t>Households</t>
        </is>
      </c>
      <c r="E404" s="14" t="n">
        <v>60235</v>
      </c>
    </row>
    <row r="405">
      <c r="A405" t="inlineStr">
        <is>
          <t>Ampara</t>
        </is>
      </c>
      <c r="B405" t="inlineStr">
        <is>
          <t>Eastern</t>
        </is>
      </c>
      <c r="C405" t="n">
        <v>2025</v>
      </c>
      <c r="D405" t="inlineStr">
        <is>
          <t>Avg. monthly income (Rs)</t>
        </is>
      </c>
      <c r="E405" s="14" t="n">
        <v>92254</v>
      </c>
    </row>
    <row r="406">
      <c r="A406" t="inlineStr">
        <is>
          <t>Trincomalee</t>
        </is>
      </c>
      <c r="B406" t="inlineStr">
        <is>
          <t>Eastern</t>
        </is>
      </c>
      <c r="C406" t="n">
        <v>2021</v>
      </c>
      <c r="D406" t="inlineStr">
        <is>
          <t>Population</t>
        </is>
      </c>
      <c r="E406" s="14" t="n">
        <v>667381</v>
      </c>
    </row>
    <row r="407">
      <c r="A407" t="inlineStr">
        <is>
          <t>Trincomalee</t>
        </is>
      </c>
      <c r="B407" t="inlineStr">
        <is>
          <t>Eastern</t>
        </is>
      </c>
      <c r="C407" t="n">
        <v>2021</v>
      </c>
      <c r="D407" t="inlineStr">
        <is>
          <t>Schools</t>
        </is>
      </c>
      <c r="E407" s="14" t="n">
        <v>766</v>
      </c>
    </row>
    <row r="408">
      <c r="A408" t="inlineStr">
        <is>
          <t>Trincomalee</t>
        </is>
      </c>
      <c r="B408" t="inlineStr">
        <is>
          <t>Eastern</t>
        </is>
      </c>
      <c r="C408" t="n">
        <v>2021</v>
      </c>
      <c r="D408" t="inlineStr">
        <is>
          <t>Internet users (%)</t>
        </is>
      </c>
      <c r="E408" s="15" t="n">
        <v>18.7</v>
      </c>
    </row>
    <row r="409">
      <c r="A409" t="inlineStr">
        <is>
          <t>Trincomalee</t>
        </is>
      </c>
      <c r="B409" t="inlineStr">
        <is>
          <t>Eastern</t>
        </is>
      </c>
      <c r="C409" t="n">
        <v>2021</v>
      </c>
      <c r="D409" t="inlineStr">
        <is>
          <t>Households</t>
        </is>
      </c>
      <c r="E409" s="14" t="n">
        <v>152127</v>
      </c>
    </row>
    <row r="410">
      <c r="A410" t="inlineStr">
        <is>
          <t>Trincomalee</t>
        </is>
      </c>
      <c r="B410" t="inlineStr">
        <is>
          <t>Eastern</t>
        </is>
      </c>
      <c r="C410" t="n">
        <v>2021</v>
      </c>
      <c r="D410" t="inlineStr">
        <is>
          <t>Avg. monthly income (Rs)</t>
        </is>
      </c>
      <c r="E410" s="14" t="n">
        <v>63958</v>
      </c>
    </row>
    <row r="411">
      <c r="A411" t="inlineStr">
        <is>
          <t>Trincomalee</t>
        </is>
      </c>
      <c r="B411" t="inlineStr">
        <is>
          <t>Eastern</t>
        </is>
      </c>
      <c r="C411" t="n">
        <v>2022</v>
      </c>
      <c r="D411" t="inlineStr">
        <is>
          <t>Population</t>
        </is>
      </c>
      <c r="E411" s="14" t="n">
        <v>677099</v>
      </c>
    </row>
    <row r="412">
      <c r="A412" t="inlineStr">
        <is>
          <t>Trincomalee</t>
        </is>
      </c>
      <c r="B412" t="inlineStr">
        <is>
          <t>Eastern</t>
        </is>
      </c>
      <c r="C412" t="n">
        <v>2022</v>
      </c>
      <c r="D412" t="inlineStr">
        <is>
          <t>Schools</t>
        </is>
      </c>
      <c r="E412" s="14" t="n">
        <v>768</v>
      </c>
    </row>
    <row r="413">
      <c r="A413" t="inlineStr">
        <is>
          <t>Trincomalee</t>
        </is>
      </c>
      <c r="B413" t="inlineStr">
        <is>
          <t>Eastern</t>
        </is>
      </c>
      <c r="C413" t="n">
        <v>2022</v>
      </c>
      <c r="D413" t="inlineStr">
        <is>
          <t>Internet users (%)</t>
        </is>
      </c>
      <c r="E413" s="15" t="n">
        <v>22</v>
      </c>
    </row>
    <row r="414">
      <c r="A414" t="inlineStr">
        <is>
          <t>Trincomalee</t>
        </is>
      </c>
      <c r="B414" t="inlineStr">
        <is>
          <t>Eastern</t>
        </is>
      </c>
      <c r="C414" t="n">
        <v>2022</v>
      </c>
      <c r="D414" t="inlineStr">
        <is>
          <t>Households</t>
        </is>
      </c>
      <c r="E414" s="14" t="n">
        <v>183176</v>
      </c>
    </row>
    <row r="415">
      <c r="A415" t="inlineStr">
        <is>
          <t>Trincomalee</t>
        </is>
      </c>
      <c r="B415" t="inlineStr">
        <is>
          <t>Eastern</t>
        </is>
      </c>
      <c r="C415" t="n">
        <v>2022</v>
      </c>
      <c r="D415" t="inlineStr">
        <is>
          <t>Avg. monthly income (Rs)</t>
        </is>
      </c>
      <c r="E415" s="14" t="n">
        <v>68044</v>
      </c>
    </row>
    <row r="416">
      <c r="A416" t="inlineStr">
        <is>
          <t>Trincomalee</t>
        </is>
      </c>
      <c r="B416" t="inlineStr">
        <is>
          <t>Eastern</t>
        </is>
      </c>
      <c r="C416" t="n">
        <v>2023</v>
      </c>
      <c r="D416" t="inlineStr">
        <is>
          <t>Population</t>
        </is>
      </c>
      <c r="E416" s="14" t="n">
        <v>686960</v>
      </c>
    </row>
    <row r="417">
      <c r="A417" t="inlineStr">
        <is>
          <t>Trincomalee</t>
        </is>
      </c>
      <c r="B417" t="inlineStr">
        <is>
          <t>Eastern</t>
        </is>
      </c>
      <c r="C417" t="n">
        <v>2023</v>
      </c>
      <c r="D417" t="inlineStr">
        <is>
          <t>Schools</t>
        </is>
      </c>
      <c r="E417" s="14" t="n">
        <v>778</v>
      </c>
    </row>
    <row r="418">
      <c r="A418" t="inlineStr">
        <is>
          <t>Trincomalee</t>
        </is>
      </c>
      <c r="B418" t="inlineStr">
        <is>
          <t>Eastern</t>
        </is>
      </c>
      <c r="C418" t="n">
        <v>2023</v>
      </c>
      <c r="D418" t="inlineStr">
        <is>
          <t>Internet users (%)</t>
        </is>
      </c>
      <c r="E418" s="15" t="n">
        <v>25</v>
      </c>
    </row>
    <row r="419">
      <c r="A419" t="inlineStr">
        <is>
          <t>Trincomalee</t>
        </is>
      </c>
      <c r="B419" t="inlineStr">
        <is>
          <t>Eastern</t>
        </is>
      </c>
      <c r="C419" t="n">
        <v>2023</v>
      </c>
      <c r="D419" t="inlineStr">
        <is>
          <t>Households</t>
        </is>
      </c>
      <c r="E419" s="14" t="n">
        <v>181661</v>
      </c>
    </row>
    <row r="420">
      <c r="A420" t="inlineStr">
        <is>
          <t>Trincomalee</t>
        </is>
      </c>
      <c r="B420" t="inlineStr">
        <is>
          <t>Eastern</t>
        </is>
      </c>
      <c r="C420" t="n">
        <v>2023</v>
      </c>
      <c r="D420" t="inlineStr">
        <is>
          <t>Avg. monthly income (Rs)</t>
        </is>
      </c>
      <c r="E420" s="14" t="n">
        <v>77763</v>
      </c>
    </row>
    <row r="421">
      <c r="A421" t="inlineStr">
        <is>
          <t>Trincomalee</t>
        </is>
      </c>
      <c r="B421" t="inlineStr">
        <is>
          <t>Eastern</t>
        </is>
      </c>
      <c r="C421" t="n">
        <v>2024</v>
      </c>
      <c r="D421" t="inlineStr">
        <is>
          <t>Population</t>
        </is>
      </c>
      <c r="E421" s="14" t="n">
        <v>696964</v>
      </c>
    </row>
    <row r="422">
      <c r="A422" t="inlineStr">
        <is>
          <t>Trincomalee</t>
        </is>
      </c>
      <c r="B422" t="inlineStr">
        <is>
          <t>Eastern</t>
        </is>
      </c>
      <c r="C422" t="n">
        <v>2024</v>
      </c>
      <c r="D422" t="inlineStr">
        <is>
          <t>Schools</t>
        </is>
      </c>
      <c r="E422" s="14" t="n">
        <v>784</v>
      </c>
    </row>
    <row r="423">
      <c r="A423" t="inlineStr">
        <is>
          <t>Trincomalee</t>
        </is>
      </c>
      <c r="B423" t="inlineStr">
        <is>
          <t>Eastern</t>
        </is>
      </c>
      <c r="C423" t="n">
        <v>2024</v>
      </c>
      <c r="D423" t="inlineStr">
        <is>
          <t>Internet users (%)</t>
        </is>
      </c>
      <c r="E423" s="15" t="n">
        <v>28.9</v>
      </c>
    </row>
    <row r="424">
      <c r="A424" t="inlineStr">
        <is>
          <t>Trincomalee</t>
        </is>
      </c>
      <c r="B424" t="inlineStr">
        <is>
          <t>Eastern</t>
        </is>
      </c>
      <c r="C424" t="n">
        <v>2024</v>
      </c>
      <c r="D424" t="inlineStr">
        <is>
          <t>Households</t>
        </is>
      </c>
      <c r="E424" s="14" t="n">
        <v>185944</v>
      </c>
    </row>
    <row r="425">
      <c r="A425" t="inlineStr">
        <is>
          <t>Trincomalee</t>
        </is>
      </c>
      <c r="B425" t="inlineStr">
        <is>
          <t>Eastern</t>
        </is>
      </c>
      <c r="C425" t="n">
        <v>2024</v>
      </c>
      <c r="D425" t="inlineStr">
        <is>
          <t>Avg. monthly income (Rs)</t>
        </is>
      </c>
      <c r="E425" s="14" t="n">
        <v>82239</v>
      </c>
    </row>
    <row r="426">
      <c r="A426" t="inlineStr">
        <is>
          <t>Trincomalee</t>
        </is>
      </c>
      <c r="B426" t="inlineStr">
        <is>
          <t>Eastern</t>
        </is>
      </c>
      <c r="C426" t="n">
        <v>2025</v>
      </c>
      <c r="D426" t="inlineStr">
        <is>
          <t>Population</t>
        </is>
      </c>
      <c r="E426" s="14" t="n">
        <v>707114</v>
      </c>
    </row>
    <row r="427">
      <c r="A427" t="inlineStr">
        <is>
          <t>Trincomalee</t>
        </is>
      </c>
      <c r="B427" t="inlineStr">
        <is>
          <t>Eastern</t>
        </is>
      </c>
      <c r="C427" t="n">
        <v>2025</v>
      </c>
      <c r="D427" t="inlineStr">
        <is>
          <t>Schools</t>
        </is>
      </c>
      <c r="E427" s="14" t="n">
        <v>786</v>
      </c>
    </row>
    <row r="428">
      <c r="A428" t="inlineStr">
        <is>
          <t>Trincomalee</t>
        </is>
      </c>
      <c r="B428" t="inlineStr">
        <is>
          <t>Eastern</t>
        </is>
      </c>
      <c r="C428" t="n">
        <v>2025</v>
      </c>
      <c r="D428" t="inlineStr">
        <is>
          <t>Internet users (%)</t>
        </is>
      </c>
      <c r="E428" s="15" t="n">
        <v>34.4</v>
      </c>
    </row>
    <row r="429">
      <c r="A429" t="inlineStr">
        <is>
          <t>Trincomalee</t>
        </is>
      </c>
      <c r="B429" t="inlineStr">
        <is>
          <t>Eastern</t>
        </is>
      </c>
      <c r="C429" t="n">
        <v>2025</v>
      </c>
      <c r="D429" t="inlineStr">
        <is>
          <t>Households</t>
        </is>
      </c>
      <c r="E429" s="14" t="n">
        <v>181203</v>
      </c>
    </row>
    <row r="430">
      <c r="A430" t="inlineStr">
        <is>
          <t>Trincomalee</t>
        </is>
      </c>
      <c r="B430" t="inlineStr">
        <is>
          <t>Eastern</t>
        </is>
      </c>
      <c r="C430" t="n">
        <v>2025</v>
      </c>
      <c r="D430" t="inlineStr">
        <is>
          <t>Avg. monthly income (Rs)</t>
        </is>
      </c>
      <c r="E430" s="14" t="n">
        <v>89516</v>
      </c>
    </row>
    <row r="431">
      <c r="A431" t="inlineStr">
        <is>
          <t>Kurunegala</t>
        </is>
      </c>
      <c r="B431" t="inlineStr">
        <is>
          <t>North Western</t>
        </is>
      </c>
      <c r="C431" t="n">
        <v>2021</v>
      </c>
      <c r="D431" t="inlineStr">
        <is>
          <t>Population</t>
        </is>
      </c>
      <c r="E431" s="14" t="n">
        <v>1760593</v>
      </c>
    </row>
    <row r="432">
      <c r="A432" t="inlineStr">
        <is>
          <t>Kurunegala</t>
        </is>
      </c>
      <c r="B432" t="inlineStr">
        <is>
          <t>North Western</t>
        </is>
      </c>
      <c r="C432" t="n">
        <v>2021</v>
      </c>
      <c r="D432" t="inlineStr">
        <is>
          <t>Schools</t>
        </is>
      </c>
      <c r="E432" s="14" t="n">
        <v>360</v>
      </c>
    </row>
    <row r="433">
      <c r="A433" t="inlineStr">
        <is>
          <t>Kurunegala</t>
        </is>
      </c>
      <c r="B433" t="inlineStr">
        <is>
          <t>North Western</t>
        </is>
      </c>
      <c r="C433" t="n">
        <v>2021</v>
      </c>
      <c r="D433" t="inlineStr">
        <is>
          <t>Internet users (%)</t>
        </is>
      </c>
      <c r="E433" s="15" t="n">
        <v>48.1</v>
      </c>
    </row>
    <row r="434">
      <c r="A434" t="inlineStr">
        <is>
          <t>Kurunegala</t>
        </is>
      </c>
      <c r="B434" t="inlineStr">
        <is>
          <t>North Western</t>
        </is>
      </c>
      <c r="C434" t="n">
        <v>2021</v>
      </c>
      <c r="D434" t="inlineStr">
        <is>
          <t>Households</t>
        </is>
      </c>
      <c r="E434" s="14" t="n">
        <v>488042</v>
      </c>
    </row>
    <row r="435">
      <c r="A435" t="inlineStr">
        <is>
          <t>Kurunegala</t>
        </is>
      </c>
      <c r="B435" t="inlineStr">
        <is>
          <t>North Western</t>
        </is>
      </c>
      <c r="C435" t="n">
        <v>2021</v>
      </c>
      <c r="D435" t="inlineStr">
        <is>
          <t>Avg. monthly income (Rs)</t>
        </is>
      </c>
      <c r="E435" s="14" t="n">
        <v>39464</v>
      </c>
    </row>
    <row r="436">
      <c r="A436" t="inlineStr">
        <is>
          <t>Kurunegala</t>
        </is>
      </c>
      <c r="B436" t="inlineStr">
        <is>
          <t>North Western</t>
        </is>
      </c>
      <c r="C436" t="n">
        <v>2022</v>
      </c>
      <c r="D436" t="inlineStr">
        <is>
          <t>Population</t>
        </is>
      </c>
      <c r="E436" s="14" t="n">
        <v>1778568</v>
      </c>
    </row>
    <row r="437">
      <c r="A437" t="inlineStr">
        <is>
          <t>Kurunegala</t>
        </is>
      </c>
      <c r="B437" t="inlineStr">
        <is>
          <t>North Western</t>
        </is>
      </c>
      <c r="C437" t="n">
        <v>2022</v>
      </c>
      <c r="D437" t="inlineStr">
        <is>
          <t>Schools</t>
        </is>
      </c>
      <c r="E437" s="14" t="n">
        <v>365</v>
      </c>
    </row>
    <row r="438">
      <c r="A438" t="inlineStr">
        <is>
          <t>Kurunegala</t>
        </is>
      </c>
      <c r="B438" t="inlineStr">
        <is>
          <t>North Western</t>
        </is>
      </c>
      <c r="C438" t="n">
        <v>2022</v>
      </c>
      <c r="D438" t="inlineStr">
        <is>
          <t>Internet users (%)</t>
        </is>
      </c>
      <c r="E438" s="15" t="n">
        <v>50</v>
      </c>
    </row>
    <row r="439">
      <c r="A439" t="inlineStr">
        <is>
          <t>Kurunegala</t>
        </is>
      </c>
      <c r="B439" t="inlineStr">
        <is>
          <t>North Western</t>
        </is>
      </c>
      <c r="C439" t="n">
        <v>2022</v>
      </c>
      <c r="D439" t="inlineStr">
        <is>
          <t>Households</t>
        </is>
      </c>
      <c r="E439" s="14" t="n">
        <v>490022</v>
      </c>
    </row>
    <row r="440">
      <c r="A440" t="inlineStr">
        <is>
          <t>Kurunegala</t>
        </is>
      </c>
      <c r="B440" t="inlineStr">
        <is>
          <t>North Western</t>
        </is>
      </c>
      <c r="C440" t="n">
        <v>2022</v>
      </c>
      <c r="D440" t="inlineStr">
        <is>
          <t>Avg. monthly income (Rs)</t>
        </is>
      </c>
      <c r="E440" s="14" t="n">
        <v>42895</v>
      </c>
    </row>
    <row r="441">
      <c r="A441" t="inlineStr">
        <is>
          <t>Kurunegala</t>
        </is>
      </c>
      <c r="B441" t="inlineStr">
        <is>
          <t>North Western</t>
        </is>
      </c>
      <c r="C441" t="n">
        <v>2023</v>
      </c>
      <c r="D441" t="inlineStr">
        <is>
          <t>Population</t>
        </is>
      </c>
      <c r="E441" s="14" t="n">
        <v>1796727</v>
      </c>
    </row>
    <row r="442">
      <c r="A442" t="inlineStr">
        <is>
          <t>Kurunegala</t>
        </is>
      </c>
      <c r="B442" t="inlineStr">
        <is>
          <t>North Western</t>
        </is>
      </c>
      <c r="C442" t="n">
        <v>2023</v>
      </c>
      <c r="D442" t="inlineStr">
        <is>
          <t>Schools</t>
        </is>
      </c>
      <c r="E442" s="14" t="n">
        <v>360</v>
      </c>
    </row>
    <row r="443">
      <c r="A443" t="inlineStr">
        <is>
          <t>Kurunegala</t>
        </is>
      </c>
      <c r="B443" t="inlineStr">
        <is>
          <t>North Western</t>
        </is>
      </c>
      <c r="C443" t="n">
        <v>2023</v>
      </c>
      <c r="D443" t="inlineStr">
        <is>
          <t>Internet users (%)</t>
        </is>
      </c>
      <c r="E443" s="15" t="n">
        <v>52.3</v>
      </c>
    </row>
    <row r="444">
      <c r="A444" t="inlineStr">
        <is>
          <t>Kurunegala</t>
        </is>
      </c>
      <c r="B444" t="inlineStr">
        <is>
          <t>North Western</t>
        </is>
      </c>
      <c r="C444" t="n">
        <v>2023</v>
      </c>
      <c r="D444" t="inlineStr">
        <is>
          <t>Households</t>
        </is>
      </c>
      <c r="E444" s="14" t="n">
        <v>421860</v>
      </c>
    </row>
    <row r="445">
      <c r="A445" t="inlineStr">
        <is>
          <t>Kurunegala</t>
        </is>
      </c>
      <c r="B445" t="inlineStr">
        <is>
          <t>North Western</t>
        </is>
      </c>
      <c r="C445" t="n">
        <v>2023</v>
      </c>
      <c r="D445" t="inlineStr">
        <is>
          <t>Avg. monthly income (Rs)</t>
        </is>
      </c>
      <c r="E445" s="14" t="n">
        <v>45580</v>
      </c>
    </row>
    <row r="446">
      <c r="A446" t="inlineStr">
        <is>
          <t>Kurunegala</t>
        </is>
      </c>
      <c r="B446" t="inlineStr">
        <is>
          <t>North Western</t>
        </is>
      </c>
      <c r="C446" t="n">
        <v>2024</v>
      </c>
      <c r="D446" t="inlineStr">
        <is>
          <t>Population</t>
        </is>
      </c>
      <c r="E446" s="14" t="n">
        <v>1815071</v>
      </c>
    </row>
    <row r="447">
      <c r="A447" t="inlineStr">
        <is>
          <t>Kurunegala</t>
        </is>
      </c>
      <c r="B447" t="inlineStr">
        <is>
          <t>North Western</t>
        </is>
      </c>
      <c r="C447" t="n">
        <v>2024</v>
      </c>
      <c r="D447" t="inlineStr">
        <is>
          <t>Schools</t>
        </is>
      </c>
      <c r="E447" s="14" t="n">
        <v>357</v>
      </c>
    </row>
    <row r="448">
      <c r="A448" t="inlineStr">
        <is>
          <t>Kurunegala</t>
        </is>
      </c>
      <c r="B448" t="inlineStr">
        <is>
          <t>North Western</t>
        </is>
      </c>
      <c r="C448" t="n">
        <v>2024</v>
      </c>
      <c r="D448" t="inlineStr">
        <is>
          <t>Internet users (%)</t>
        </is>
      </c>
      <c r="E448" s="15" t="n">
        <v>59.1</v>
      </c>
    </row>
    <row r="449">
      <c r="A449" t="inlineStr">
        <is>
          <t>Kurunegala</t>
        </is>
      </c>
      <c r="B449" t="inlineStr">
        <is>
          <t>North Western</t>
        </is>
      </c>
      <c r="C449" t="n">
        <v>2024</v>
      </c>
      <c r="D449" t="inlineStr">
        <is>
          <t>Households</t>
        </is>
      </c>
      <c r="E449" s="14" t="n">
        <v>484276</v>
      </c>
    </row>
    <row r="450">
      <c r="A450" t="inlineStr">
        <is>
          <t>Kurunegala</t>
        </is>
      </c>
      <c r="B450" t="inlineStr">
        <is>
          <t>North Western</t>
        </is>
      </c>
      <c r="C450" t="n">
        <v>2024</v>
      </c>
      <c r="D450" t="inlineStr">
        <is>
          <t>Avg. monthly income (Rs)</t>
        </is>
      </c>
      <c r="E450" s="14" t="n">
        <v>51032</v>
      </c>
    </row>
    <row r="451">
      <c r="A451" t="inlineStr">
        <is>
          <t>Kurunegala</t>
        </is>
      </c>
      <c r="B451" t="inlineStr">
        <is>
          <t>North Western</t>
        </is>
      </c>
      <c r="C451" t="n">
        <v>2025</v>
      </c>
      <c r="D451" t="inlineStr">
        <is>
          <t>Population</t>
        </is>
      </c>
      <c r="E451" s="14" t="n">
        <v>1833602</v>
      </c>
    </row>
    <row r="452">
      <c r="A452" t="inlineStr">
        <is>
          <t>Kurunegala</t>
        </is>
      </c>
      <c r="B452" t="inlineStr">
        <is>
          <t>North Western</t>
        </is>
      </c>
      <c r="C452" t="n">
        <v>2025</v>
      </c>
      <c r="D452" t="inlineStr">
        <is>
          <t>Schools</t>
        </is>
      </c>
      <c r="E452" s="14" t="n">
        <v>388</v>
      </c>
    </row>
    <row r="453">
      <c r="A453" t="inlineStr">
        <is>
          <t>Kurunegala</t>
        </is>
      </c>
      <c r="B453" t="inlineStr">
        <is>
          <t>North Western</t>
        </is>
      </c>
      <c r="C453" t="n">
        <v>2025</v>
      </c>
      <c r="D453" t="inlineStr">
        <is>
          <t>Internet users (%)</t>
        </is>
      </c>
      <c r="E453" s="15" t="n">
        <v>63.6</v>
      </c>
    </row>
    <row r="454">
      <c r="A454" t="inlineStr">
        <is>
          <t>Kurunegala</t>
        </is>
      </c>
      <c r="B454" t="inlineStr">
        <is>
          <t>North Western</t>
        </is>
      </c>
      <c r="C454" t="n">
        <v>2025</v>
      </c>
      <c r="D454" t="inlineStr">
        <is>
          <t>Households</t>
        </is>
      </c>
      <c r="E454" s="14" t="n">
        <v>429157</v>
      </c>
    </row>
    <row r="455">
      <c r="A455" t="inlineStr">
        <is>
          <t>Kurunegala</t>
        </is>
      </c>
      <c r="B455" t="inlineStr">
        <is>
          <t>North Western</t>
        </is>
      </c>
      <c r="C455" t="n">
        <v>2025</v>
      </c>
      <c r="D455" t="inlineStr">
        <is>
          <t>Avg. monthly income (Rs)</t>
        </is>
      </c>
      <c r="E455" s="14" t="n">
        <v>54286</v>
      </c>
    </row>
    <row r="456">
      <c r="A456" t="inlineStr">
        <is>
          <t>Puttalam</t>
        </is>
      </c>
      <c r="B456" t="inlineStr">
        <is>
          <t>North Western</t>
        </is>
      </c>
      <c r="C456" t="n">
        <v>2021</v>
      </c>
      <c r="D456" t="inlineStr">
        <is>
          <t>Population</t>
        </is>
      </c>
      <c r="E456" s="14" t="n">
        <v>1483829</v>
      </c>
    </row>
    <row r="457">
      <c r="A457" t="inlineStr">
        <is>
          <t>Puttalam</t>
        </is>
      </c>
      <c r="B457" t="inlineStr">
        <is>
          <t>North Western</t>
        </is>
      </c>
      <c r="C457" t="n">
        <v>2021</v>
      </c>
      <c r="D457" t="inlineStr">
        <is>
          <t>Schools</t>
        </is>
      </c>
      <c r="E457" s="14" t="n">
        <v>396</v>
      </c>
    </row>
    <row r="458">
      <c r="A458" t="inlineStr">
        <is>
          <t>Puttalam</t>
        </is>
      </c>
      <c r="B458" t="inlineStr">
        <is>
          <t>North Western</t>
        </is>
      </c>
      <c r="C458" t="n">
        <v>2021</v>
      </c>
      <c r="D458" t="inlineStr">
        <is>
          <t>Internet users (%)</t>
        </is>
      </c>
      <c r="E458" s="15" t="n">
        <v>18.2</v>
      </c>
    </row>
    <row r="459">
      <c r="A459" t="inlineStr">
        <is>
          <t>Puttalam</t>
        </is>
      </c>
      <c r="B459" t="inlineStr">
        <is>
          <t>North Western</t>
        </is>
      </c>
      <c r="C459" t="n">
        <v>2021</v>
      </c>
      <c r="D459" t="inlineStr">
        <is>
          <t>Households</t>
        </is>
      </c>
      <c r="E459" s="14" t="n">
        <v>367654</v>
      </c>
    </row>
    <row r="460">
      <c r="A460" t="inlineStr">
        <is>
          <t>Puttalam</t>
        </is>
      </c>
      <c r="B460" t="inlineStr">
        <is>
          <t>North Western</t>
        </is>
      </c>
      <c r="C460" t="n">
        <v>2021</v>
      </c>
      <c r="D460" t="inlineStr">
        <is>
          <t>Avg. monthly income (Rs)</t>
        </is>
      </c>
      <c r="E460" s="14" t="n">
        <v>70976</v>
      </c>
    </row>
    <row r="461">
      <c r="A461" t="inlineStr">
        <is>
          <t>Puttalam</t>
        </is>
      </c>
      <c r="B461" t="inlineStr">
        <is>
          <t>North Western</t>
        </is>
      </c>
      <c r="C461" t="n">
        <v>2022</v>
      </c>
      <c r="D461" t="inlineStr">
        <is>
          <t>Population</t>
        </is>
      </c>
      <c r="E461" s="14" t="n">
        <v>1495580</v>
      </c>
    </row>
    <row r="462">
      <c r="A462" t="inlineStr">
        <is>
          <t>Puttalam</t>
        </is>
      </c>
      <c r="B462" t="inlineStr">
        <is>
          <t>North Western</t>
        </is>
      </c>
      <c r="C462" t="n">
        <v>2022</v>
      </c>
      <c r="D462" t="inlineStr">
        <is>
          <t>Schools</t>
        </is>
      </c>
      <c r="E462" s="14" t="n">
        <v>405</v>
      </c>
    </row>
    <row r="463">
      <c r="A463" t="inlineStr">
        <is>
          <t>Puttalam</t>
        </is>
      </c>
      <c r="B463" t="inlineStr">
        <is>
          <t>North Western</t>
        </is>
      </c>
      <c r="C463" t="n">
        <v>2022</v>
      </c>
      <c r="D463" t="inlineStr">
        <is>
          <t>Internet users (%)</t>
        </is>
      </c>
      <c r="E463" s="15" t="n">
        <v>20.3</v>
      </c>
    </row>
    <row r="464">
      <c r="A464" t="inlineStr">
        <is>
          <t>Puttalam</t>
        </is>
      </c>
      <c r="B464" t="inlineStr">
        <is>
          <t>North Western</t>
        </is>
      </c>
      <c r="C464" t="n">
        <v>2022</v>
      </c>
      <c r="D464" t="inlineStr">
        <is>
          <t>Households</t>
        </is>
      </c>
      <c r="E464" s="14" t="n">
        <v>382179</v>
      </c>
    </row>
    <row r="465">
      <c r="A465" t="inlineStr">
        <is>
          <t>Puttalam</t>
        </is>
      </c>
      <c r="B465" t="inlineStr">
        <is>
          <t>North Western</t>
        </is>
      </c>
      <c r="C465" t="n">
        <v>2022</v>
      </c>
      <c r="D465" t="inlineStr">
        <is>
          <t>Avg. monthly income (Rs)</t>
        </is>
      </c>
      <c r="E465" s="14" t="n">
        <v>73584</v>
      </c>
    </row>
    <row r="466">
      <c r="A466" t="inlineStr">
        <is>
          <t>Puttalam</t>
        </is>
      </c>
      <c r="B466" t="inlineStr">
        <is>
          <t>North Western</t>
        </is>
      </c>
      <c r="C466" t="n">
        <v>2023</v>
      </c>
      <c r="D466" t="inlineStr">
        <is>
          <t>Population</t>
        </is>
      </c>
      <c r="E466" s="14" t="n">
        <v>1507425</v>
      </c>
    </row>
    <row r="467">
      <c r="A467" t="inlineStr">
        <is>
          <t>Puttalam</t>
        </is>
      </c>
      <c r="B467" t="inlineStr">
        <is>
          <t>North Western</t>
        </is>
      </c>
      <c r="C467" t="n">
        <v>2023</v>
      </c>
      <c r="D467" t="inlineStr">
        <is>
          <t>Schools</t>
        </is>
      </c>
      <c r="E467" s="14" t="n">
        <v>392</v>
      </c>
    </row>
    <row r="468">
      <c r="A468" t="inlineStr">
        <is>
          <t>Puttalam</t>
        </is>
      </c>
      <c r="B468" t="inlineStr">
        <is>
          <t>North Western</t>
        </is>
      </c>
      <c r="C468" t="n">
        <v>2023</v>
      </c>
      <c r="D468" t="inlineStr">
        <is>
          <t>Internet users (%)</t>
        </is>
      </c>
      <c r="E468" s="15" t="n">
        <v>25.5</v>
      </c>
    </row>
    <row r="469">
      <c r="A469" t="inlineStr">
        <is>
          <t>Puttalam</t>
        </is>
      </c>
      <c r="B469" t="inlineStr">
        <is>
          <t>North Western</t>
        </is>
      </c>
      <c r="C469" t="n">
        <v>2023</v>
      </c>
      <c r="D469" t="inlineStr">
        <is>
          <t>Households</t>
        </is>
      </c>
      <c r="E469" s="14" t="n">
        <v>352303</v>
      </c>
    </row>
    <row r="470">
      <c r="A470" t="inlineStr">
        <is>
          <t>Puttalam</t>
        </is>
      </c>
      <c r="B470" t="inlineStr">
        <is>
          <t>North Western</t>
        </is>
      </c>
      <c r="C470" t="n">
        <v>2023</v>
      </c>
      <c r="D470" t="inlineStr">
        <is>
          <t>Avg. monthly income (Rs)</t>
        </is>
      </c>
      <c r="E470" s="14" t="n">
        <v>84724</v>
      </c>
    </row>
    <row r="471">
      <c r="A471" t="inlineStr">
        <is>
          <t>Puttalam</t>
        </is>
      </c>
      <c r="B471" t="inlineStr">
        <is>
          <t>North Western</t>
        </is>
      </c>
      <c r="C471" t="n">
        <v>2024</v>
      </c>
      <c r="D471" t="inlineStr">
        <is>
          <t>Population</t>
        </is>
      </c>
      <c r="E471" s="14" t="n">
        <v>1519364</v>
      </c>
    </row>
    <row r="472">
      <c r="A472" t="inlineStr">
        <is>
          <t>Puttalam</t>
        </is>
      </c>
      <c r="B472" t="inlineStr">
        <is>
          <t>North Western</t>
        </is>
      </c>
      <c r="C472" t="n">
        <v>2024</v>
      </c>
      <c r="D472" t="inlineStr">
        <is>
          <t>Schools</t>
        </is>
      </c>
      <c r="E472" s="14" t="n">
        <v>408</v>
      </c>
    </row>
    <row r="473">
      <c r="A473" t="inlineStr">
        <is>
          <t>Puttalam</t>
        </is>
      </c>
      <c r="B473" t="inlineStr">
        <is>
          <t>North Western</t>
        </is>
      </c>
      <c r="C473" t="n">
        <v>2024</v>
      </c>
      <c r="D473" t="inlineStr">
        <is>
          <t>Internet users (%)</t>
        </is>
      </c>
      <c r="E473" s="15" t="n">
        <v>27</v>
      </c>
    </row>
    <row r="474">
      <c r="A474" t="inlineStr">
        <is>
          <t>Puttalam</t>
        </is>
      </c>
      <c r="B474" t="inlineStr">
        <is>
          <t>North Western</t>
        </is>
      </c>
      <c r="C474" t="n">
        <v>2024</v>
      </c>
      <c r="D474" t="inlineStr">
        <is>
          <t>Households</t>
        </is>
      </c>
      <c r="E474" s="14" t="n">
        <v>408791</v>
      </c>
    </row>
    <row r="475">
      <c r="A475" t="inlineStr">
        <is>
          <t>Puttalam</t>
        </is>
      </c>
      <c r="B475" t="inlineStr">
        <is>
          <t>North Western</t>
        </is>
      </c>
      <c r="C475" t="n">
        <v>2024</v>
      </c>
      <c r="D475" t="inlineStr">
        <is>
          <t>Avg. monthly income (Rs)</t>
        </is>
      </c>
      <c r="E475" s="14" t="n">
        <v>84217</v>
      </c>
    </row>
    <row r="476">
      <c r="A476" t="inlineStr">
        <is>
          <t>Puttalam</t>
        </is>
      </c>
      <c r="B476" t="inlineStr">
        <is>
          <t>North Western</t>
        </is>
      </c>
      <c r="C476" t="n">
        <v>2025</v>
      </c>
      <c r="D476" t="inlineStr">
        <is>
          <t>Population</t>
        </is>
      </c>
      <c r="E476" s="14" t="n">
        <v>1531397</v>
      </c>
    </row>
    <row r="477">
      <c r="A477" t="inlineStr">
        <is>
          <t>Puttalam</t>
        </is>
      </c>
      <c r="B477" t="inlineStr">
        <is>
          <t>North Western</t>
        </is>
      </c>
      <c r="C477" t="n">
        <v>2025</v>
      </c>
      <c r="D477" t="inlineStr">
        <is>
          <t>Schools</t>
        </is>
      </c>
      <c r="E477" s="14" t="n">
        <v>408</v>
      </c>
    </row>
    <row r="478">
      <c r="A478" t="inlineStr">
        <is>
          <t>Puttalam</t>
        </is>
      </c>
      <c r="B478" t="inlineStr">
        <is>
          <t>North Western</t>
        </is>
      </c>
      <c r="C478" t="n">
        <v>2025</v>
      </c>
      <c r="D478" t="inlineStr">
        <is>
          <t>Internet users (%)</t>
        </is>
      </c>
      <c r="E478" s="15" t="n">
        <v>27.5</v>
      </c>
    </row>
    <row r="479">
      <c r="A479" t="inlineStr">
        <is>
          <t>Puttalam</t>
        </is>
      </c>
      <c r="B479" t="inlineStr">
        <is>
          <t>North Western</t>
        </is>
      </c>
      <c r="C479" t="n">
        <v>2025</v>
      </c>
      <c r="D479" t="inlineStr">
        <is>
          <t>Households</t>
        </is>
      </c>
      <c r="E479" s="14" t="n">
        <v>380608</v>
      </c>
    </row>
    <row r="480">
      <c r="A480" t="inlineStr">
        <is>
          <t>Puttalam</t>
        </is>
      </c>
      <c r="B480" t="inlineStr">
        <is>
          <t>North Western</t>
        </is>
      </c>
      <c r="C480" t="n">
        <v>2025</v>
      </c>
      <c r="D480" t="inlineStr">
        <is>
          <t>Avg. monthly income (Rs)</t>
        </is>
      </c>
      <c r="E480" s="14" t="n">
        <v>83258</v>
      </c>
    </row>
    <row r="481">
      <c r="A481" t="inlineStr">
        <is>
          <t>Anuradhapura</t>
        </is>
      </c>
      <c r="B481" t="inlineStr">
        <is>
          <t>North Central</t>
        </is>
      </c>
      <c r="C481" t="n">
        <v>2021</v>
      </c>
      <c r="D481" t="inlineStr">
        <is>
          <t>Population</t>
        </is>
      </c>
      <c r="E481" s="14" t="n">
        <v>977827</v>
      </c>
    </row>
    <row r="482">
      <c r="A482" t="inlineStr">
        <is>
          <t>Anuradhapura</t>
        </is>
      </c>
      <c r="B482" t="inlineStr">
        <is>
          <t>North Central</t>
        </is>
      </c>
      <c r="C482" t="n">
        <v>2021</v>
      </c>
      <c r="D482" t="inlineStr">
        <is>
          <t>Schools</t>
        </is>
      </c>
      <c r="E482" s="14" t="n">
        <v>863</v>
      </c>
    </row>
    <row r="483">
      <c r="A483" t="inlineStr">
        <is>
          <t>Anuradhapura</t>
        </is>
      </c>
      <c r="B483" t="inlineStr">
        <is>
          <t>North Central</t>
        </is>
      </c>
      <c r="C483" t="n">
        <v>2021</v>
      </c>
      <c r="D483" t="inlineStr">
        <is>
          <t>Internet users (%)</t>
        </is>
      </c>
      <c r="E483" s="15" t="n">
        <v>41</v>
      </c>
    </row>
    <row r="484">
      <c r="A484" t="inlineStr">
        <is>
          <t>Anuradhapura</t>
        </is>
      </c>
      <c r="B484" t="inlineStr">
        <is>
          <t>North Central</t>
        </is>
      </c>
      <c r="C484" t="n">
        <v>2021</v>
      </c>
      <c r="D484" t="inlineStr">
        <is>
          <t>Households</t>
        </is>
      </c>
      <c r="E484" s="14" t="n">
        <v>267804</v>
      </c>
    </row>
    <row r="485">
      <c r="A485" t="inlineStr">
        <is>
          <t>Anuradhapura</t>
        </is>
      </c>
      <c r="B485" t="inlineStr">
        <is>
          <t>North Central</t>
        </is>
      </c>
      <c r="C485" t="n">
        <v>2021</v>
      </c>
      <c r="D485" t="inlineStr">
        <is>
          <t>Avg. monthly income (Rs)</t>
        </is>
      </c>
      <c r="E485" s="14" t="n">
        <v>53713</v>
      </c>
    </row>
    <row r="486">
      <c r="A486" t="inlineStr">
        <is>
          <t>Anuradhapura</t>
        </is>
      </c>
      <c r="B486" t="inlineStr">
        <is>
          <t>North Central</t>
        </is>
      </c>
      <c r="C486" t="n">
        <v>2022</v>
      </c>
      <c r="D486" t="inlineStr">
        <is>
          <t>Population</t>
        </is>
      </c>
      <c r="E486" s="14" t="n">
        <v>989829</v>
      </c>
    </row>
    <row r="487">
      <c r="A487" t="inlineStr">
        <is>
          <t>Anuradhapura</t>
        </is>
      </c>
      <c r="B487" t="inlineStr">
        <is>
          <t>North Central</t>
        </is>
      </c>
      <c r="C487" t="n">
        <v>2022</v>
      </c>
      <c r="D487" t="inlineStr">
        <is>
          <t>Schools</t>
        </is>
      </c>
      <c r="E487" s="14" t="n">
        <v>872</v>
      </c>
    </row>
    <row r="488">
      <c r="A488" t="inlineStr">
        <is>
          <t>Anuradhapura</t>
        </is>
      </c>
      <c r="B488" t="inlineStr">
        <is>
          <t>North Central</t>
        </is>
      </c>
      <c r="C488" t="n">
        <v>2022</v>
      </c>
      <c r="D488" t="inlineStr">
        <is>
          <t>Internet users (%)</t>
        </is>
      </c>
      <c r="E488" s="15" t="n">
        <v>43.7</v>
      </c>
    </row>
    <row r="489">
      <c r="A489" t="inlineStr">
        <is>
          <t>Anuradhapura</t>
        </is>
      </c>
      <c r="B489" t="inlineStr">
        <is>
          <t>North Central</t>
        </is>
      </c>
      <c r="C489" t="n">
        <v>2022</v>
      </c>
      <c r="D489" t="inlineStr">
        <is>
          <t>Households</t>
        </is>
      </c>
      <c r="E489" s="14" t="n">
        <v>226817</v>
      </c>
    </row>
    <row r="490">
      <c r="A490" t="inlineStr">
        <is>
          <t>Anuradhapura</t>
        </is>
      </c>
      <c r="B490" t="inlineStr">
        <is>
          <t>North Central</t>
        </is>
      </c>
      <c r="C490" t="n">
        <v>2022</v>
      </c>
      <c r="D490" t="inlineStr">
        <is>
          <t>Avg. monthly income (Rs)</t>
        </is>
      </c>
      <c r="E490" s="14" t="n">
        <v>57652</v>
      </c>
    </row>
    <row r="491">
      <c r="A491" t="inlineStr">
        <is>
          <t>Anuradhapura</t>
        </is>
      </c>
      <c r="B491" t="inlineStr">
        <is>
          <t>North Central</t>
        </is>
      </c>
      <c r="C491" t="n">
        <v>2023</v>
      </c>
      <c r="D491" t="inlineStr">
        <is>
          <t>Population</t>
        </is>
      </c>
      <c r="E491" s="14" t="n">
        <v>1001980</v>
      </c>
    </row>
    <row r="492">
      <c r="A492" t="inlineStr">
        <is>
          <t>Anuradhapura</t>
        </is>
      </c>
      <c r="B492" t="inlineStr">
        <is>
          <t>North Central</t>
        </is>
      </c>
      <c r="C492" t="n">
        <v>2023</v>
      </c>
      <c r="D492" t="inlineStr">
        <is>
          <t>Schools</t>
        </is>
      </c>
      <c r="E492" s="14" t="n">
        <v>871</v>
      </c>
    </row>
    <row r="493">
      <c r="A493" t="inlineStr">
        <is>
          <t>Anuradhapura</t>
        </is>
      </c>
      <c r="B493" t="inlineStr">
        <is>
          <t>North Central</t>
        </is>
      </c>
      <c r="C493" t="n">
        <v>2023</v>
      </c>
      <c r="D493" t="inlineStr">
        <is>
          <t>Internet users (%)</t>
        </is>
      </c>
      <c r="E493" s="15" t="n">
        <v>49.1</v>
      </c>
    </row>
    <row r="494">
      <c r="A494" t="inlineStr">
        <is>
          <t>Anuradhapura</t>
        </is>
      </c>
      <c r="B494" t="inlineStr">
        <is>
          <t>North Central</t>
        </is>
      </c>
      <c r="C494" t="n">
        <v>2023</v>
      </c>
      <c r="D494" t="inlineStr">
        <is>
          <t>Households</t>
        </is>
      </c>
      <c r="E494" s="14" t="n">
        <v>232898</v>
      </c>
    </row>
    <row r="495">
      <c r="A495" t="inlineStr">
        <is>
          <t>Anuradhapura</t>
        </is>
      </c>
      <c r="B495" t="inlineStr">
        <is>
          <t>North Central</t>
        </is>
      </c>
      <c r="C495" t="n">
        <v>2023</v>
      </c>
      <c r="D495" t="inlineStr">
        <is>
          <t>Avg. monthly income (Rs)</t>
        </is>
      </c>
      <c r="E495" s="14" t="n">
        <v>58270</v>
      </c>
    </row>
    <row r="496">
      <c r="A496" t="inlineStr">
        <is>
          <t>Anuradhapura</t>
        </is>
      </c>
      <c r="B496" t="inlineStr">
        <is>
          <t>North Central</t>
        </is>
      </c>
      <c r="C496" t="n">
        <v>2024</v>
      </c>
      <c r="D496" t="inlineStr">
        <is>
          <t>Population</t>
        </is>
      </c>
      <c r="E496" s="14" t="n">
        <v>1014279</v>
      </c>
    </row>
    <row r="497">
      <c r="A497" t="inlineStr">
        <is>
          <t>Anuradhapura</t>
        </is>
      </c>
      <c r="B497" t="inlineStr">
        <is>
          <t>North Central</t>
        </is>
      </c>
      <c r="C497" t="n">
        <v>2024</v>
      </c>
      <c r="D497" t="inlineStr">
        <is>
          <t>Schools</t>
        </is>
      </c>
      <c r="E497" s="14" t="n">
        <v>860</v>
      </c>
    </row>
    <row r="498">
      <c r="A498" t="inlineStr">
        <is>
          <t>Anuradhapura</t>
        </is>
      </c>
      <c r="B498" t="inlineStr">
        <is>
          <t>North Central</t>
        </is>
      </c>
      <c r="C498" t="n">
        <v>2024</v>
      </c>
      <c r="D498" t="inlineStr">
        <is>
          <t>Internet users (%)</t>
        </is>
      </c>
      <c r="E498" s="15" t="n">
        <v>47.1</v>
      </c>
    </row>
    <row r="499">
      <c r="A499" t="inlineStr">
        <is>
          <t>Anuradhapura</t>
        </is>
      </c>
      <c r="B499" t="inlineStr">
        <is>
          <t>North Central</t>
        </is>
      </c>
      <c r="C499" t="n">
        <v>2024</v>
      </c>
      <c r="D499" t="inlineStr">
        <is>
          <t>Households</t>
        </is>
      </c>
      <c r="E499" s="14" t="n">
        <v>249811</v>
      </c>
    </row>
    <row r="500">
      <c r="A500" t="inlineStr">
        <is>
          <t>Anuradhapura</t>
        </is>
      </c>
      <c r="B500" t="inlineStr">
        <is>
          <t>North Central</t>
        </is>
      </c>
      <c r="C500" t="n">
        <v>2024</v>
      </c>
      <c r="D500" t="inlineStr">
        <is>
          <t>Avg. monthly income (Rs)</t>
        </is>
      </c>
      <c r="E500" s="14" t="n">
        <v>64411</v>
      </c>
    </row>
    <row r="501">
      <c r="A501" t="inlineStr">
        <is>
          <t>Anuradhapura</t>
        </is>
      </c>
      <c r="B501" t="inlineStr">
        <is>
          <t>North Central</t>
        </is>
      </c>
      <c r="C501" t="n">
        <v>2025</v>
      </c>
      <c r="D501" t="inlineStr">
        <is>
          <t>Population</t>
        </is>
      </c>
      <c r="E501" s="14" t="n">
        <v>1026729</v>
      </c>
    </row>
    <row r="502">
      <c r="A502" t="inlineStr">
        <is>
          <t>Anuradhapura</t>
        </is>
      </c>
      <c r="B502" t="inlineStr">
        <is>
          <t>North Central</t>
        </is>
      </c>
      <c r="C502" t="n">
        <v>2025</v>
      </c>
      <c r="D502" t="inlineStr">
        <is>
          <t>Schools</t>
        </is>
      </c>
      <c r="E502" s="14" t="n">
        <v>859</v>
      </c>
    </row>
    <row r="503">
      <c r="A503" t="inlineStr">
        <is>
          <t>Anuradhapura</t>
        </is>
      </c>
      <c r="B503" t="inlineStr">
        <is>
          <t>North Central</t>
        </is>
      </c>
      <c r="C503" t="n">
        <v>2025</v>
      </c>
      <c r="D503" t="inlineStr">
        <is>
          <t>Internet users (%)</t>
        </is>
      </c>
      <c r="E503" s="15" t="n">
        <v>55.3</v>
      </c>
    </row>
    <row r="504">
      <c r="A504" t="inlineStr">
        <is>
          <t>Anuradhapura</t>
        </is>
      </c>
      <c r="B504" t="inlineStr">
        <is>
          <t>North Central</t>
        </is>
      </c>
      <c r="C504" t="n">
        <v>2025</v>
      </c>
      <c r="D504" t="inlineStr">
        <is>
          <t>Households</t>
        </is>
      </c>
      <c r="E504" s="14" t="n">
        <v>273161</v>
      </c>
    </row>
    <row r="505">
      <c r="A505" t="inlineStr">
        <is>
          <t>Anuradhapura</t>
        </is>
      </c>
      <c r="B505" t="inlineStr">
        <is>
          <t>North Central</t>
        </is>
      </c>
      <c r="C505" t="n">
        <v>2025</v>
      </c>
      <c r="D505" t="inlineStr">
        <is>
          <t>Avg. monthly income (Rs)</t>
        </is>
      </c>
      <c r="E505" s="14" t="n">
        <v>64414</v>
      </c>
    </row>
    <row r="506">
      <c r="A506" t="inlineStr">
        <is>
          <t>Polonnaruwa</t>
        </is>
      </c>
      <c r="B506" t="inlineStr">
        <is>
          <t>North Central</t>
        </is>
      </c>
      <c r="C506" t="n">
        <v>2021</v>
      </c>
      <c r="D506" t="inlineStr">
        <is>
          <t>Population</t>
        </is>
      </c>
      <c r="E506" s="14" t="n">
        <v>951126</v>
      </c>
    </row>
    <row r="507">
      <c r="A507" t="inlineStr">
        <is>
          <t>Polonnaruwa</t>
        </is>
      </c>
      <c r="B507" t="inlineStr">
        <is>
          <t>North Central</t>
        </is>
      </c>
      <c r="C507" t="n">
        <v>2021</v>
      </c>
      <c r="D507" t="inlineStr">
        <is>
          <t>Schools</t>
        </is>
      </c>
      <c r="E507" s="14" t="n">
        <v>746</v>
      </c>
    </row>
    <row r="508">
      <c r="A508" t="inlineStr">
        <is>
          <t>Polonnaruwa</t>
        </is>
      </c>
      <c r="B508" t="inlineStr">
        <is>
          <t>North Central</t>
        </is>
      </c>
      <c r="C508" t="n">
        <v>2021</v>
      </c>
      <c r="D508" t="inlineStr">
        <is>
          <t>Internet users (%)</t>
        </is>
      </c>
      <c r="E508" s="15" t="n">
        <v>20.1</v>
      </c>
    </row>
    <row r="509">
      <c r="A509" t="inlineStr">
        <is>
          <t>Polonnaruwa</t>
        </is>
      </c>
      <c r="B509" t="inlineStr">
        <is>
          <t>North Central</t>
        </is>
      </c>
      <c r="C509" t="n">
        <v>2021</v>
      </c>
      <c r="D509" t="inlineStr">
        <is>
          <t>Households</t>
        </is>
      </c>
      <c r="E509" s="14" t="n">
        <v>220560</v>
      </c>
    </row>
    <row r="510">
      <c r="A510" t="inlineStr">
        <is>
          <t>Polonnaruwa</t>
        </is>
      </c>
      <c r="B510" t="inlineStr">
        <is>
          <t>North Central</t>
        </is>
      </c>
      <c r="C510" t="n">
        <v>2021</v>
      </c>
      <c r="D510" t="inlineStr">
        <is>
          <t>Avg. monthly income (Rs)</t>
        </is>
      </c>
      <c r="E510" s="14" t="n">
        <v>89553</v>
      </c>
    </row>
    <row r="511">
      <c r="A511" t="inlineStr">
        <is>
          <t>Polonnaruwa</t>
        </is>
      </c>
      <c r="B511" t="inlineStr">
        <is>
          <t>North Central</t>
        </is>
      </c>
      <c r="C511" t="n">
        <v>2022</v>
      </c>
      <c r="D511" t="inlineStr">
        <is>
          <t>Population</t>
        </is>
      </c>
      <c r="E511" s="14" t="n">
        <v>955069</v>
      </c>
    </row>
    <row r="512">
      <c r="A512" t="inlineStr">
        <is>
          <t>Polonnaruwa</t>
        </is>
      </c>
      <c r="B512" t="inlineStr">
        <is>
          <t>North Central</t>
        </is>
      </c>
      <c r="C512" t="n">
        <v>2022</v>
      </c>
      <c r="D512" t="inlineStr">
        <is>
          <t>Schools</t>
        </is>
      </c>
      <c r="E512" s="14" t="n">
        <v>748</v>
      </c>
    </row>
    <row r="513">
      <c r="A513" t="inlineStr">
        <is>
          <t>Polonnaruwa</t>
        </is>
      </c>
      <c r="B513" t="inlineStr">
        <is>
          <t>North Central</t>
        </is>
      </c>
      <c r="C513" t="n">
        <v>2022</v>
      </c>
      <c r="D513" t="inlineStr">
        <is>
          <t>Internet users (%)</t>
        </is>
      </c>
      <c r="E513" s="15" t="n">
        <v>23.9</v>
      </c>
    </row>
    <row r="514">
      <c r="A514" t="inlineStr">
        <is>
          <t>Polonnaruwa</t>
        </is>
      </c>
      <c r="B514" t="inlineStr">
        <is>
          <t>North Central</t>
        </is>
      </c>
      <c r="C514" t="n">
        <v>2022</v>
      </c>
      <c r="D514" t="inlineStr">
        <is>
          <t>Households</t>
        </is>
      </c>
      <c r="E514" s="14" t="n">
        <v>256191</v>
      </c>
    </row>
    <row r="515">
      <c r="A515" t="inlineStr">
        <is>
          <t>Polonnaruwa</t>
        </is>
      </c>
      <c r="B515" t="inlineStr">
        <is>
          <t>North Central</t>
        </is>
      </c>
      <c r="C515" t="n">
        <v>2022</v>
      </c>
      <c r="D515" t="inlineStr">
        <is>
          <t>Avg. monthly income (Rs)</t>
        </is>
      </c>
      <c r="E515" s="14" t="n">
        <v>97375</v>
      </c>
    </row>
    <row r="516">
      <c r="A516" t="inlineStr">
        <is>
          <t>Polonnaruwa</t>
        </is>
      </c>
      <c r="B516" t="inlineStr">
        <is>
          <t>North Central</t>
        </is>
      </c>
      <c r="C516" t="n">
        <v>2023</v>
      </c>
      <c r="D516" t="inlineStr">
        <is>
          <t>Population</t>
        </is>
      </c>
      <c r="E516" s="14" t="n">
        <v>959030</v>
      </c>
    </row>
    <row r="517">
      <c r="A517" t="inlineStr">
        <is>
          <t>Polonnaruwa</t>
        </is>
      </c>
      <c r="B517" t="inlineStr">
        <is>
          <t>North Central</t>
        </is>
      </c>
      <c r="C517" t="n">
        <v>2023</v>
      </c>
      <c r="D517" t="inlineStr">
        <is>
          <t>Schools</t>
        </is>
      </c>
      <c r="E517" s="14" t="n">
        <v>738</v>
      </c>
    </row>
    <row r="518">
      <c r="A518" t="inlineStr">
        <is>
          <t>Polonnaruwa</t>
        </is>
      </c>
      <c r="B518" t="inlineStr">
        <is>
          <t>North Central</t>
        </is>
      </c>
      <c r="C518" t="n">
        <v>2023</v>
      </c>
      <c r="D518" t="inlineStr">
        <is>
          <t>Internet users (%)</t>
        </is>
      </c>
      <c r="E518" s="15" t="n">
        <v>25.9</v>
      </c>
    </row>
    <row r="519">
      <c r="A519" t="inlineStr">
        <is>
          <t>Polonnaruwa</t>
        </is>
      </c>
      <c r="B519" t="inlineStr">
        <is>
          <t>North Central</t>
        </is>
      </c>
      <c r="C519" t="n">
        <v>2023</v>
      </c>
      <c r="D519" t="inlineStr">
        <is>
          <t>Households</t>
        </is>
      </c>
      <c r="E519" s="14" t="n">
        <v>220392</v>
      </c>
    </row>
    <row r="520">
      <c r="A520" t="inlineStr">
        <is>
          <t>Polonnaruwa</t>
        </is>
      </c>
      <c r="B520" t="inlineStr">
        <is>
          <t>North Central</t>
        </is>
      </c>
      <c r="C520" t="n">
        <v>2023</v>
      </c>
      <c r="D520" t="inlineStr">
        <is>
          <t>Avg. monthly income (Rs)</t>
        </is>
      </c>
      <c r="E520" s="14" t="n">
        <v>106401</v>
      </c>
    </row>
    <row r="521">
      <c r="A521" t="inlineStr">
        <is>
          <t>Polonnaruwa</t>
        </is>
      </c>
      <c r="B521" t="inlineStr">
        <is>
          <t>North Central</t>
        </is>
      </c>
      <c r="C521" t="n">
        <v>2024</v>
      </c>
      <c r="D521" t="inlineStr">
        <is>
          <t>Population</t>
        </is>
      </c>
      <c r="E521" s="14" t="n">
        <v>963007</v>
      </c>
    </row>
    <row r="522">
      <c r="A522" t="inlineStr">
        <is>
          <t>Polonnaruwa</t>
        </is>
      </c>
      <c r="B522" t="inlineStr">
        <is>
          <t>North Central</t>
        </is>
      </c>
      <c r="C522" t="n">
        <v>2024</v>
      </c>
      <c r="D522" t="inlineStr">
        <is>
          <t>Schools</t>
        </is>
      </c>
      <c r="E522" s="14" t="n">
        <v>758</v>
      </c>
    </row>
    <row r="523">
      <c r="A523" t="inlineStr">
        <is>
          <t>Polonnaruwa</t>
        </is>
      </c>
      <c r="B523" t="inlineStr">
        <is>
          <t>North Central</t>
        </is>
      </c>
      <c r="C523" t="n">
        <v>2024</v>
      </c>
      <c r="D523" t="inlineStr">
        <is>
          <t>Internet users (%)</t>
        </is>
      </c>
      <c r="E523" s="15" t="n">
        <v>27</v>
      </c>
    </row>
    <row r="524">
      <c r="A524" t="inlineStr">
        <is>
          <t>Polonnaruwa</t>
        </is>
      </c>
      <c r="B524" t="inlineStr">
        <is>
          <t>North Central</t>
        </is>
      </c>
      <c r="C524" t="n">
        <v>2024</v>
      </c>
      <c r="D524" t="inlineStr">
        <is>
          <t>Households</t>
        </is>
      </c>
      <c r="E524" s="14" t="n">
        <v>224076</v>
      </c>
    </row>
    <row r="525">
      <c r="A525" t="inlineStr">
        <is>
          <t>Polonnaruwa</t>
        </is>
      </c>
      <c r="B525" t="inlineStr">
        <is>
          <t>North Central</t>
        </is>
      </c>
      <c r="C525" t="n">
        <v>2024</v>
      </c>
      <c r="D525" t="inlineStr">
        <is>
          <t>Avg. monthly income (Rs)</t>
        </is>
      </c>
      <c r="E525" s="14" t="n">
        <v>117802</v>
      </c>
    </row>
    <row r="526">
      <c r="A526" t="inlineStr">
        <is>
          <t>Polonnaruwa</t>
        </is>
      </c>
      <c r="B526" t="inlineStr">
        <is>
          <t>North Central</t>
        </is>
      </c>
      <c r="C526" t="n">
        <v>2025</v>
      </c>
      <c r="D526" t="inlineStr">
        <is>
          <t>Population</t>
        </is>
      </c>
      <c r="E526" s="14" t="n">
        <v>967000</v>
      </c>
    </row>
    <row r="527">
      <c r="A527" t="inlineStr">
        <is>
          <t>Polonnaruwa</t>
        </is>
      </c>
      <c r="B527" t="inlineStr">
        <is>
          <t>North Central</t>
        </is>
      </c>
      <c r="C527" t="n">
        <v>2025</v>
      </c>
      <c r="D527" t="inlineStr">
        <is>
          <t>Schools</t>
        </is>
      </c>
      <c r="E527" s="14" t="n">
        <v>770</v>
      </c>
    </row>
    <row r="528">
      <c r="A528" t="inlineStr">
        <is>
          <t>Polonnaruwa</t>
        </is>
      </c>
      <c r="B528" t="inlineStr">
        <is>
          <t>North Central</t>
        </is>
      </c>
      <c r="C528" t="n">
        <v>2025</v>
      </c>
      <c r="D528" t="inlineStr">
        <is>
          <t>Internet users (%)</t>
        </is>
      </c>
      <c r="E528" s="15" t="n">
        <v>37.7</v>
      </c>
    </row>
    <row r="529">
      <c r="A529" t="inlineStr">
        <is>
          <t>Polonnaruwa</t>
        </is>
      </c>
      <c r="B529" t="inlineStr">
        <is>
          <t>North Central</t>
        </is>
      </c>
      <c r="C529" t="n">
        <v>2025</v>
      </c>
      <c r="D529" t="inlineStr">
        <is>
          <t>Households</t>
        </is>
      </c>
      <c r="E529" s="14" t="n">
        <v>259794</v>
      </c>
    </row>
    <row r="530">
      <c r="A530" t="inlineStr">
        <is>
          <t>Polonnaruwa</t>
        </is>
      </c>
      <c r="B530" t="inlineStr">
        <is>
          <t>North Central</t>
        </is>
      </c>
      <c r="C530" t="n">
        <v>2025</v>
      </c>
      <c r="D530" t="inlineStr">
        <is>
          <t>Avg. monthly income (Rs)</t>
        </is>
      </c>
      <c r="E530" s="14" t="n">
        <v>130967</v>
      </c>
    </row>
    <row r="531">
      <c r="A531" t="inlineStr">
        <is>
          <t>Badulla</t>
        </is>
      </c>
      <c r="B531" t="inlineStr">
        <is>
          <t>Uva</t>
        </is>
      </c>
      <c r="C531" t="n">
        <v>2021</v>
      </c>
      <c r="D531" t="inlineStr">
        <is>
          <t>Population</t>
        </is>
      </c>
      <c r="E531" s="14" t="n">
        <v>1780363</v>
      </c>
    </row>
    <row r="532">
      <c r="A532" t="inlineStr">
        <is>
          <t>Badulla</t>
        </is>
      </c>
      <c r="B532" t="inlineStr">
        <is>
          <t>Uva</t>
        </is>
      </c>
      <c r="C532" t="n">
        <v>2021</v>
      </c>
      <c r="D532" t="inlineStr">
        <is>
          <t>Schools</t>
        </is>
      </c>
      <c r="E532" s="14" t="n">
        <v>671</v>
      </c>
    </row>
    <row r="533">
      <c r="A533" t="inlineStr">
        <is>
          <t>Badulla</t>
        </is>
      </c>
      <c r="B533" t="inlineStr">
        <is>
          <t>Uva</t>
        </is>
      </c>
      <c r="C533" t="n">
        <v>2021</v>
      </c>
      <c r="D533" t="inlineStr">
        <is>
          <t>Internet users (%)</t>
        </is>
      </c>
      <c r="E533" s="15" t="n">
        <v>58.6</v>
      </c>
    </row>
    <row r="534">
      <c r="A534" t="inlineStr">
        <is>
          <t>Badulla</t>
        </is>
      </c>
      <c r="B534" t="inlineStr">
        <is>
          <t>Uva</t>
        </is>
      </c>
      <c r="C534" t="n">
        <v>2021</v>
      </c>
      <c r="D534" t="inlineStr">
        <is>
          <t>Households</t>
        </is>
      </c>
      <c r="E534" s="14" t="n">
        <v>454481</v>
      </c>
    </row>
    <row r="535">
      <c r="A535" t="inlineStr">
        <is>
          <t>Badulla</t>
        </is>
      </c>
      <c r="B535" t="inlineStr">
        <is>
          <t>Uva</t>
        </is>
      </c>
      <c r="C535" t="n">
        <v>2021</v>
      </c>
      <c r="D535" t="inlineStr">
        <is>
          <t>Avg. monthly income (Rs)</t>
        </is>
      </c>
      <c r="E535" s="14" t="n">
        <v>71236</v>
      </c>
    </row>
    <row r="536">
      <c r="A536" t="inlineStr">
        <is>
          <t>Badulla</t>
        </is>
      </c>
      <c r="B536" t="inlineStr">
        <is>
          <t>Uva</t>
        </is>
      </c>
      <c r="C536" t="n">
        <v>2022</v>
      </c>
      <c r="D536" t="inlineStr">
        <is>
          <t>Population</t>
        </is>
      </c>
      <c r="E536" s="14" t="n">
        <v>1812353</v>
      </c>
    </row>
    <row r="537">
      <c r="A537" t="inlineStr">
        <is>
          <t>Badulla</t>
        </is>
      </c>
      <c r="B537" t="inlineStr">
        <is>
          <t>Uva</t>
        </is>
      </c>
      <c r="C537" t="n">
        <v>2022</v>
      </c>
      <c r="D537" t="inlineStr">
        <is>
          <t>Schools</t>
        </is>
      </c>
      <c r="E537" s="14" t="n">
        <v>668</v>
      </c>
    </row>
    <row r="538">
      <c r="A538" t="inlineStr">
        <is>
          <t>Badulla</t>
        </is>
      </c>
      <c r="B538" t="inlineStr">
        <is>
          <t>Uva</t>
        </is>
      </c>
      <c r="C538" t="n">
        <v>2022</v>
      </c>
      <c r="D538" t="inlineStr">
        <is>
          <t>Internet users (%)</t>
        </is>
      </c>
      <c r="E538" s="15" t="n">
        <v>63</v>
      </c>
    </row>
    <row r="539">
      <c r="A539" t="inlineStr">
        <is>
          <t>Badulla</t>
        </is>
      </c>
      <c r="B539" t="inlineStr">
        <is>
          <t>Uva</t>
        </is>
      </c>
      <c r="C539" t="n">
        <v>2022</v>
      </c>
      <c r="D539" t="inlineStr">
        <is>
          <t>Households</t>
        </is>
      </c>
      <c r="E539" s="14" t="n">
        <v>438390</v>
      </c>
    </row>
    <row r="540">
      <c r="A540" t="inlineStr">
        <is>
          <t>Badulla</t>
        </is>
      </c>
      <c r="B540" t="inlineStr">
        <is>
          <t>Uva</t>
        </is>
      </c>
      <c r="C540" t="n">
        <v>2022</v>
      </c>
      <c r="D540" t="inlineStr">
        <is>
          <t>Avg. monthly income (Rs)</t>
        </is>
      </c>
      <c r="E540" s="14" t="n">
        <v>77671</v>
      </c>
    </row>
    <row r="541">
      <c r="A541" t="inlineStr">
        <is>
          <t>Badulla</t>
        </is>
      </c>
      <c r="B541" t="inlineStr">
        <is>
          <t>Uva</t>
        </is>
      </c>
      <c r="C541" t="n">
        <v>2023</v>
      </c>
      <c r="D541" t="inlineStr">
        <is>
          <t>Population</t>
        </is>
      </c>
      <c r="E541" s="14" t="n">
        <v>1844919</v>
      </c>
    </row>
    <row r="542">
      <c r="A542" t="inlineStr">
        <is>
          <t>Badulla</t>
        </is>
      </c>
      <c r="B542" t="inlineStr">
        <is>
          <t>Uva</t>
        </is>
      </c>
      <c r="C542" t="n">
        <v>2023</v>
      </c>
      <c r="D542" t="inlineStr">
        <is>
          <t>Schools</t>
        </is>
      </c>
      <c r="E542" s="14" t="n">
        <v>667</v>
      </c>
    </row>
    <row r="543">
      <c r="A543" t="inlineStr">
        <is>
          <t>Badulla</t>
        </is>
      </c>
      <c r="B543" t="inlineStr">
        <is>
          <t>Uva</t>
        </is>
      </c>
      <c r="C543" t="n">
        <v>2023</v>
      </c>
      <c r="D543" t="inlineStr">
        <is>
          <t>Internet users (%)</t>
        </is>
      </c>
      <c r="E543" s="15" t="n">
        <v>66.40000000000001</v>
      </c>
    </row>
    <row r="544">
      <c r="A544" t="inlineStr">
        <is>
          <t>Badulla</t>
        </is>
      </c>
      <c r="B544" t="inlineStr">
        <is>
          <t>Uva</t>
        </is>
      </c>
      <c r="C544" t="n">
        <v>2023</v>
      </c>
      <c r="D544" t="inlineStr">
        <is>
          <t>Households</t>
        </is>
      </c>
      <c r="E544" s="14" t="n">
        <v>466686</v>
      </c>
    </row>
    <row r="545">
      <c r="A545" t="inlineStr">
        <is>
          <t>Badulla</t>
        </is>
      </c>
      <c r="B545" t="inlineStr">
        <is>
          <t>Uva</t>
        </is>
      </c>
      <c r="C545" t="n">
        <v>2023</v>
      </c>
      <c r="D545" t="inlineStr">
        <is>
          <t>Avg. monthly income (Rs)</t>
        </is>
      </c>
      <c r="E545" s="14" t="n">
        <v>84572</v>
      </c>
    </row>
    <row r="546">
      <c r="A546" t="inlineStr">
        <is>
          <t>Badulla</t>
        </is>
      </c>
      <c r="B546" t="inlineStr">
        <is>
          <t>Uva</t>
        </is>
      </c>
      <c r="C546" t="n">
        <v>2024</v>
      </c>
      <c r="D546" t="inlineStr">
        <is>
          <t>Population</t>
        </is>
      </c>
      <c r="E546" s="14" t="n">
        <v>1878069</v>
      </c>
    </row>
    <row r="547">
      <c r="A547" t="inlineStr">
        <is>
          <t>Badulla</t>
        </is>
      </c>
      <c r="B547" t="inlineStr">
        <is>
          <t>Uva</t>
        </is>
      </c>
      <c r="C547" t="n">
        <v>2024</v>
      </c>
      <c r="D547" t="inlineStr">
        <is>
          <t>Schools</t>
        </is>
      </c>
      <c r="E547" s="14" t="n">
        <v>668</v>
      </c>
    </row>
    <row r="548">
      <c r="A548" t="inlineStr">
        <is>
          <t>Badulla</t>
        </is>
      </c>
      <c r="B548" t="inlineStr">
        <is>
          <t>Uva</t>
        </is>
      </c>
      <c r="C548" t="n">
        <v>2024</v>
      </c>
      <c r="D548" t="inlineStr">
        <is>
          <t>Internet users (%)</t>
        </is>
      </c>
      <c r="E548" s="15" t="n">
        <v>70.7</v>
      </c>
    </row>
    <row r="549">
      <c r="A549" t="inlineStr">
        <is>
          <t>Badulla</t>
        </is>
      </c>
      <c r="B549" t="inlineStr">
        <is>
          <t>Uva</t>
        </is>
      </c>
      <c r="C549" t="n">
        <v>2024</v>
      </c>
      <c r="D549" t="inlineStr">
        <is>
          <t>Households</t>
        </is>
      </c>
      <c r="E549" s="14" t="n">
        <v>434204</v>
      </c>
    </row>
    <row r="550">
      <c r="A550" t="inlineStr">
        <is>
          <t>Badulla</t>
        </is>
      </c>
      <c r="B550" t="inlineStr">
        <is>
          <t>Uva</t>
        </is>
      </c>
      <c r="C550" t="n">
        <v>2024</v>
      </c>
      <c r="D550" t="inlineStr">
        <is>
          <t>Avg. monthly income (Rs)</t>
        </is>
      </c>
      <c r="E550" s="14" t="n">
        <v>95573</v>
      </c>
    </row>
    <row r="551">
      <c r="A551" t="inlineStr">
        <is>
          <t>Badulla</t>
        </is>
      </c>
      <c r="B551" t="inlineStr">
        <is>
          <t>Uva</t>
        </is>
      </c>
      <c r="C551" t="n">
        <v>2025</v>
      </c>
      <c r="D551" t="inlineStr">
        <is>
          <t>Population</t>
        </is>
      </c>
      <c r="E551" s="14" t="n">
        <v>1911815</v>
      </c>
    </row>
    <row r="552">
      <c r="A552" t="inlineStr">
        <is>
          <t>Badulla</t>
        </is>
      </c>
      <c r="B552" t="inlineStr">
        <is>
          <t>Uva</t>
        </is>
      </c>
      <c r="C552" t="n">
        <v>2025</v>
      </c>
      <c r="D552" t="inlineStr">
        <is>
          <t>Schools</t>
        </is>
      </c>
      <c r="E552" s="14" t="n">
        <v>659</v>
      </c>
    </row>
    <row r="553">
      <c r="A553" t="inlineStr">
        <is>
          <t>Badulla</t>
        </is>
      </c>
      <c r="B553" t="inlineStr">
        <is>
          <t>Uva</t>
        </is>
      </c>
      <c r="C553" t="n">
        <v>2025</v>
      </c>
      <c r="D553" t="inlineStr">
        <is>
          <t>Internet users (%)</t>
        </is>
      </c>
      <c r="E553" s="15" t="n">
        <v>73</v>
      </c>
    </row>
    <row r="554">
      <c r="A554" t="inlineStr">
        <is>
          <t>Badulla</t>
        </is>
      </c>
      <c r="B554" t="inlineStr">
        <is>
          <t>Uva</t>
        </is>
      </c>
      <c r="C554" t="n">
        <v>2025</v>
      </c>
      <c r="D554" t="inlineStr">
        <is>
          <t>Households</t>
        </is>
      </c>
      <c r="E554" s="14" t="n">
        <v>493977</v>
      </c>
    </row>
    <row r="555">
      <c r="A555" t="inlineStr">
        <is>
          <t>Badulla</t>
        </is>
      </c>
      <c r="B555" t="inlineStr">
        <is>
          <t>Uva</t>
        </is>
      </c>
      <c r="C555" t="n">
        <v>2025</v>
      </c>
      <c r="D555" t="inlineStr">
        <is>
          <t>Avg. monthly income (Rs)</t>
        </is>
      </c>
      <c r="E555" s="14" t="n">
        <v>99189</v>
      </c>
    </row>
    <row r="556">
      <c r="A556" t="inlineStr">
        <is>
          <t>Monaragala</t>
        </is>
      </c>
      <c r="B556" t="inlineStr">
        <is>
          <t>Uva</t>
        </is>
      </c>
      <c r="C556" t="n">
        <v>2021</v>
      </c>
      <c r="D556" t="inlineStr">
        <is>
          <t>Population</t>
        </is>
      </c>
      <c r="E556" s="14" t="n">
        <v>798562</v>
      </c>
    </row>
    <row r="557">
      <c r="A557" t="inlineStr">
        <is>
          <t>Monaragala</t>
        </is>
      </c>
      <c r="B557" t="inlineStr">
        <is>
          <t>Uva</t>
        </is>
      </c>
      <c r="C557" t="n">
        <v>2021</v>
      </c>
      <c r="D557" t="inlineStr">
        <is>
          <t>Schools</t>
        </is>
      </c>
      <c r="E557" s="14" t="n">
        <v>581</v>
      </c>
    </row>
    <row r="558">
      <c r="A558" t="inlineStr">
        <is>
          <t>Monaragala</t>
        </is>
      </c>
      <c r="B558" t="inlineStr">
        <is>
          <t>Uva</t>
        </is>
      </c>
      <c r="C558" t="n">
        <v>2021</v>
      </c>
      <c r="D558" t="inlineStr">
        <is>
          <t>Internet users (%)</t>
        </is>
      </c>
      <c r="E558" s="15" t="n">
        <v>43.6</v>
      </c>
    </row>
    <row r="559">
      <c r="A559" t="inlineStr">
        <is>
          <t>Monaragala</t>
        </is>
      </c>
      <c r="B559" t="inlineStr">
        <is>
          <t>Uva</t>
        </is>
      </c>
      <c r="C559" t="n">
        <v>2021</v>
      </c>
      <c r="D559" t="inlineStr">
        <is>
          <t>Households</t>
        </is>
      </c>
      <c r="E559" s="14" t="n">
        <v>205666</v>
      </c>
    </row>
    <row r="560">
      <c r="A560" t="inlineStr">
        <is>
          <t>Monaragala</t>
        </is>
      </c>
      <c r="B560" t="inlineStr">
        <is>
          <t>Uva</t>
        </is>
      </c>
      <c r="C560" t="n">
        <v>2021</v>
      </c>
      <c r="D560" t="inlineStr">
        <is>
          <t>Avg. monthly income (Rs)</t>
        </is>
      </c>
      <c r="E560" s="14" t="n">
        <v>57252</v>
      </c>
    </row>
    <row r="561">
      <c r="A561" t="inlineStr">
        <is>
          <t>Monaragala</t>
        </is>
      </c>
      <c r="B561" t="inlineStr">
        <is>
          <t>Uva</t>
        </is>
      </c>
      <c r="C561" t="n">
        <v>2022</v>
      </c>
      <c r="D561" t="inlineStr">
        <is>
          <t>Population</t>
        </is>
      </c>
      <c r="E561" s="14" t="n">
        <v>809723</v>
      </c>
    </row>
    <row r="562">
      <c r="A562" t="inlineStr">
        <is>
          <t>Monaragala</t>
        </is>
      </c>
      <c r="B562" t="inlineStr">
        <is>
          <t>Uva</t>
        </is>
      </c>
      <c r="C562" t="n">
        <v>2022</v>
      </c>
      <c r="D562" t="inlineStr">
        <is>
          <t>Schools</t>
        </is>
      </c>
      <c r="E562" s="14" t="n">
        <v>579</v>
      </c>
    </row>
    <row r="563">
      <c r="A563" t="inlineStr">
        <is>
          <t>Monaragala</t>
        </is>
      </c>
      <c r="B563" t="inlineStr">
        <is>
          <t>Uva</t>
        </is>
      </c>
      <c r="C563" t="n">
        <v>2022</v>
      </c>
      <c r="D563" t="inlineStr">
        <is>
          <t>Internet users (%)</t>
        </is>
      </c>
      <c r="E563" s="15" t="n">
        <v>47.9</v>
      </c>
    </row>
    <row r="564">
      <c r="A564" t="inlineStr">
        <is>
          <t>Monaragala</t>
        </is>
      </c>
      <c r="B564" t="inlineStr">
        <is>
          <t>Uva</t>
        </is>
      </c>
      <c r="C564" t="n">
        <v>2022</v>
      </c>
      <c r="D564" t="inlineStr">
        <is>
          <t>Households</t>
        </is>
      </c>
      <c r="E564" s="14" t="n">
        <v>185928</v>
      </c>
    </row>
    <row r="565">
      <c r="A565" t="inlineStr">
        <is>
          <t>Monaragala</t>
        </is>
      </c>
      <c r="B565" t="inlineStr">
        <is>
          <t>Uva</t>
        </is>
      </c>
      <c r="C565" t="n">
        <v>2022</v>
      </c>
      <c r="D565" t="inlineStr">
        <is>
          <t>Avg. monthly income (Rs)</t>
        </is>
      </c>
      <c r="E565" s="14" t="n">
        <v>60987</v>
      </c>
    </row>
    <row r="566">
      <c r="A566" t="inlineStr">
        <is>
          <t>Monaragala</t>
        </is>
      </c>
      <c r="B566" t="inlineStr">
        <is>
          <t>Uva</t>
        </is>
      </c>
      <c r="C566" t="n">
        <v>2023</v>
      </c>
      <c r="D566" t="inlineStr">
        <is>
          <t>Population</t>
        </is>
      </c>
      <c r="E566" s="14" t="n">
        <v>821040</v>
      </c>
    </row>
    <row r="567">
      <c r="A567" t="inlineStr">
        <is>
          <t>Monaragala</t>
        </is>
      </c>
      <c r="B567" t="inlineStr">
        <is>
          <t>Uva</t>
        </is>
      </c>
      <c r="C567" t="n">
        <v>2023</v>
      </c>
      <c r="D567" t="inlineStr">
        <is>
          <t>Schools</t>
        </is>
      </c>
      <c r="E567" s="14" t="n">
        <v>581</v>
      </c>
    </row>
    <row r="568">
      <c r="A568" t="inlineStr">
        <is>
          <t>Monaragala</t>
        </is>
      </c>
      <c r="B568" t="inlineStr">
        <is>
          <t>Uva</t>
        </is>
      </c>
      <c r="C568" t="n">
        <v>2023</v>
      </c>
      <c r="D568" t="inlineStr">
        <is>
          <t>Internet users (%)</t>
        </is>
      </c>
      <c r="E568" s="15" t="n">
        <v>51.4</v>
      </c>
    </row>
    <row r="569">
      <c r="A569" t="inlineStr">
        <is>
          <t>Monaragala</t>
        </is>
      </c>
      <c r="B569" t="inlineStr">
        <is>
          <t>Uva</t>
        </is>
      </c>
      <c r="C569" t="n">
        <v>2023</v>
      </c>
      <c r="D569" t="inlineStr">
        <is>
          <t>Households</t>
        </is>
      </c>
      <c r="E569" s="14" t="n">
        <v>187320</v>
      </c>
    </row>
    <row r="570">
      <c r="A570" t="inlineStr">
        <is>
          <t>Monaragala</t>
        </is>
      </c>
      <c r="B570" t="inlineStr">
        <is>
          <t>Uva</t>
        </is>
      </c>
      <c r="C570" t="n">
        <v>2023</v>
      </c>
      <c r="D570" t="inlineStr">
        <is>
          <t>Avg. monthly income (Rs)</t>
        </is>
      </c>
      <c r="E570" s="14" t="n">
        <v>63581</v>
      </c>
    </row>
    <row r="571">
      <c r="A571" t="inlineStr">
        <is>
          <t>Monaragala</t>
        </is>
      </c>
      <c r="B571" t="inlineStr">
        <is>
          <t>Uva</t>
        </is>
      </c>
      <c r="C571" t="n">
        <v>2024</v>
      </c>
      <c r="D571" t="inlineStr">
        <is>
          <t>Population</t>
        </is>
      </c>
      <c r="E571" s="14" t="n">
        <v>832515</v>
      </c>
    </row>
    <row r="572">
      <c r="A572" t="inlineStr">
        <is>
          <t>Monaragala</t>
        </is>
      </c>
      <c r="B572" t="inlineStr">
        <is>
          <t>Uva</t>
        </is>
      </c>
      <c r="C572" t="n">
        <v>2024</v>
      </c>
      <c r="D572" t="inlineStr">
        <is>
          <t>Schools</t>
        </is>
      </c>
      <c r="E572" s="14" t="n">
        <v>608</v>
      </c>
    </row>
    <row r="573">
      <c r="A573" t="inlineStr">
        <is>
          <t>Monaragala</t>
        </is>
      </c>
      <c r="B573" t="inlineStr">
        <is>
          <t>Uva</t>
        </is>
      </c>
      <c r="C573" t="n">
        <v>2024</v>
      </c>
      <c r="D573" t="inlineStr">
        <is>
          <t>Internet users (%)</t>
        </is>
      </c>
      <c r="E573" s="15" t="n">
        <v>50.5</v>
      </c>
    </row>
    <row r="574">
      <c r="A574" t="inlineStr">
        <is>
          <t>Monaragala</t>
        </is>
      </c>
      <c r="B574" t="inlineStr">
        <is>
          <t>Uva</t>
        </is>
      </c>
      <c r="C574" t="n">
        <v>2024</v>
      </c>
      <c r="D574" t="inlineStr">
        <is>
          <t>Households</t>
        </is>
      </c>
      <c r="E574" s="14" t="n">
        <v>229159</v>
      </c>
    </row>
    <row r="575">
      <c r="A575" t="inlineStr">
        <is>
          <t>Monaragala</t>
        </is>
      </c>
      <c r="B575" t="inlineStr">
        <is>
          <t>Uva</t>
        </is>
      </c>
      <c r="C575" t="n">
        <v>2024</v>
      </c>
      <c r="D575" t="inlineStr">
        <is>
          <t>Avg. monthly income (Rs)</t>
        </is>
      </c>
      <c r="E575" s="14" t="n">
        <v>75530</v>
      </c>
    </row>
    <row r="576">
      <c r="A576" t="inlineStr">
        <is>
          <t>Monaragala</t>
        </is>
      </c>
      <c r="B576" t="inlineStr">
        <is>
          <t>Uva</t>
        </is>
      </c>
      <c r="C576" t="n">
        <v>2025</v>
      </c>
      <c r="D576" t="inlineStr">
        <is>
          <t>Population</t>
        </is>
      </c>
      <c r="E576" s="14" t="n">
        <v>844151</v>
      </c>
    </row>
    <row r="577">
      <c r="A577" t="inlineStr">
        <is>
          <t>Monaragala</t>
        </is>
      </c>
      <c r="B577" t="inlineStr">
        <is>
          <t>Uva</t>
        </is>
      </c>
      <c r="C577" t="n">
        <v>2025</v>
      </c>
      <c r="D577" t="inlineStr">
        <is>
          <t>Schools</t>
        </is>
      </c>
      <c r="E577" s="14" t="n">
        <v>569</v>
      </c>
    </row>
    <row r="578">
      <c r="A578" t="inlineStr">
        <is>
          <t>Monaragala</t>
        </is>
      </c>
      <c r="B578" t="inlineStr">
        <is>
          <t>Uva</t>
        </is>
      </c>
      <c r="C578" t="n">
        <v>2025</v>
      </c>
      <c r="D578" t="inlineStr">
        <is>
          <t>Internet users (%)</t>
        </is>
      </c>
      <c r="E578" s="15" t="n">
        <v>54.4</v>
      </c>
    </row>
    <row r="579">
      <c r="A579" t="inlineStr">
        <is>
          <t>Monaragala</t>
        </is>
      </c>
      <c r="B579" t="inlineStr">
        <is>
          <t>Uva</t>
        </is>
      </c>
      <c r="C579" t="n">
        <v>2025</v>
      </c>
      <c r="D579" t="inlineStr">
        <is>
          <t>Households</t>
        </is>
      </c>
      <c r="E579" s="14" t="n">
        <v>210203</v>
      </c>
    </row>
    <row r="580">
      <c r="A580" t="inlineStr">
        <is>
          <t>Monaragala</t>
        </is>
      </c>
      <c r="B580" t="inlineStr">
        <is>
          <t>Uva</t>
        </is>
      </c>
      <c r="C580" t="n">
        <v>2025</v>
      </c>
      <c r="D580" t="inlineStr">
        <is>
          <t>Avg. monthly income (Rs)</t>
        </is>
      </c>
      <c r="E580" s="14" t="n">
        <v>85422</v>
      </c>
    </row>
    <row r="581">
      <c r="A581" t="inlineStr">
        <is>
          <t>Ratnapura</t>
        </is>
      </c>
      <c r="B581" t="inlineStr">
        <is>
          <t>Sabaragamuwa</t>
        </is>
      </c>
      <c r="C581" t="n">
        <v>2021</v>
      </c>
      <c r="D581" t="inlineStr">
        <is>
          <t>Population</t>
        </is>
      </c>
      <c r="E581" s="14" t="n">
        <v>2298088</v>
      </c>
    </row>
    <row r="582">
      <c r="A582" t="inlineStr">
        <is>
          <t>Ratnapura</t>
        </is>
      </c>
      <c r="B582" t="inlineStr">
        <is>
          <t>Sabaragamuwa</t>
        </is>
      </c>
      <c r="C582" t="n">
        <v>2021</v>
      </c>
      <c r="D582" t="inlineStr">
        <is>
          <t>Schools</t>
        </is>
      </c>
      <c r="E582" s="14" t="n">
        <v>685</v>
      </c>
    </row>
    <row r="583">
      <c r="A583" t="inlineStr">
        <is>
          <t>Ratnapura</t>
        </is>
      </c>
      <c r="B583" t="inlineStr">
        <is>
          <t>Sabaragamuwa</t>
        </is>
      </c>
      <c r="C583" t="n">
        <v>2021</v>
      </c>
      <c r="D583" t="inlineStr">
        <is>
          <t>Internet users (%)</t>
        </is>
      </c>
      <c r="E583" s="15" t="n">
        <v>57.8</v>
      </c>
    </row>
    <row r="584">
      <c r="A584" t="inlineStr">
        <is>
          <t>Ratnapura</t>
        </is>
      </c>
      <c r="B584" t="inlineStr">
        <is>
          <t>Sabaragamuwa</t>
        </is>
      </c>
      <c r="C584" t="n">
        <v>2021</v>
      </c>
      <c r="D584" t="inlineStr">
        <is>
          <t>Households</t>
        </is>
      </c>
      <c r="E584" s="14" t="n">
        <v>632483</v>
      </c>
    </row>
    <row r="585">
      <c r="A585" t="inlineStr">
        <is>
          <t>Ratnapura</t>
        </is>
      </c>
      <c r="B585" t="inlineStr">
        <is>
          <t>Sabaragamuwa</t>
        </is>
      </c>
      <c r="C585" t="n">
        <v>2021</v>
      </c>
      <c r="D585" t="inlineStr">
        <is>
          <t>Avg. monthly income (Rs)</t>
        </is>
      </c>
      <c r="E585" s="14" t="n">
        <v>79048</v>
      </c>
    </row>
    <row r="586">
      <c r="A586" t="inlineStr">
        <is>
          <t>Ratnapura</t>
        </is>
      </c>
      <c r="B586" t="inlineStr">
        <is>
          <t>Sabaragamuwa</t>
        </is>
      </c>
      <c r="C586" t="n">
        <v>2022</v>
      </c>
      <c r="D586" t="inlineStr">
        <is>
          <t>Population</t>
        </is>
      </c>
      <c r="E586" s="14" t="n">
        <v>2339403</v>
      </c>
    </row>
    <row r="587">
      <c r="A587" t="inlineStr">
        <is>
          <t>Ratnapura</t>
        </is>
      </c>
      <c r="B587" t="inlineStr">
        <is>
          <t>Sabaragamuwa</t>
        </is>
      </c>
      <c r="C587" t="n">
        <v>2022</v>
      </c>
      <c r="D587" t="inlineStr">
        <is>
          <t>Schools</t>
        </is>
      </c>
      <c r="E587" s="14" t="n">
        <v>691</v>
      </c>
    </row>
    <row r="588">
      <c r="A588" t="inlineStr">
        <is>
          <t>Ratnapura</t>
        </is>
      </c>
      <c r="B588" t="inlineStr">
        <is>
          <t>Sabaragamuwa</t>
        </is>
      </c>
      <c r="C588" t="n">
        <v>2022</v>
      </c>
      <c r="D588" t="inlineStr">
        <is>
          <t>Internet users (%)</t>
        </is>
      </c>
      <c r="E588" s="15" t="n">
        <v>61.4</v>
      </c>
    </row>
    <row r="589">
      <c r="A589" t="inlineStr">
        <is>
          <t>Ratnapura</t>
        </is>
      </c>
      <c r="B589" t="inlineStr">
        <is>
          <t>Sabaragamuwa</t>
        </is>
      </c>
      <c r="C589" t="n">
        <v>2022</v>
      </c>
      <c r="D589" t="inlineStr">
        <is>
          <t>Households</t>
        </is>
      </c>
      <c r="E589" s="14" t="n">
        <v>635072</v>
      </c>
    </row>
    <row r="590">
      <c r="A590" t="inlineStr">
        <is>
          <t>Ratnapura</t>
        </is>
      </c>
      <c r="B590" t="inlineStr">
        <is>
          <t>Sabaragamuwa</t>
        </is>
      </c>
      <c r="C590" t="n">
        <v>2022</v>
      </c>
      <c r="D590" t="inlineStr">
        <is>
          <t>Avg. monthly income (Rs)</t>
        </is>
      </c>
      <c r="E590" s="14" t="n">
        <v>81734</v>
      </c>
    </row>
    <row r="591">
      <c r="A591" t="inlineStr">
        <is>
          <t>Ratnapura</t>
        </is>
      </c>
      <c r="B591" t="inlineStr">
        <is>
          <t>Sabaragamuwa</t>
        </is>
      </c>
      <c r="C591" t="n">
        <v>2023</v>
      </c>
      <c r="D591" t="inlineStr">
        <is>
          <t>Population</t>
        </is>
      </c>
      <c r="E591" s="14" t="n">
        <v>2381461</v>
      </c>
    </row>
    <row r="592">
      <c r="A592" t="inlineStr">
        <is>
          <t>Ratnapura</t>
        </is>
      </c>
      <c r="B592" t="inlineStr">
        <is>
          <t>Sabaragamuwa</t>
        </is>
      </c>
      <c r="C592" t="n">
        <v>2023</v>
      </c>
      <c r="D592" t="inlineStr">
        <is>
          <t>Schools</t>
        </is>
      </c>
      <c r="E592" s="14" t="n">
        <v>683</v>
      </c>
    </row>
    <row r="593">
      <c r="A593" t="inlineStr">
        <is>
          <t>Ratnapura</t>
        </is>
      </c>
      <c r="B593" t="inlineStr">
        <is>
          <t>Sabaragamuwa</t>
        </is>
      </c>
      <c r="C593" t="n">
        <v>2023</v>
      </c>
      <c r="D593" t="inlineStr">
        <is>
          <t>Internet users (%)</t>
        </is>
      </c>
      <c r="E593" s="15" t="n">
        <v>62.7</v>
      </c>
    </row>
    <row r="594">
      <c r="A594" t="inlineStr">
        <is>
          <t>Ratnapura</t>
        </is>
      </c>
      <c r="B594" t="inlineStr">
        <is>
          <t>Sabaragamuwa</t>
        </is>
      </c>
      <c r="C594" t="n">
        <v>2023</v>
      </c>
      <c r="D594" t="inlineStr">
        <is>
          <t>Households</t>
        </is>
      </c>
      <c r="E594" s="14" t="n">
        <v>550073</v>
      </c>
    </row>
    <row r="595">
      <c r="A595" t="inlineStr">
        <is>
          <t>Ratnapura</t>
        </is>
      </c>
      <c r="B595" t="inlineStr">
        <is>
          <t>Sabaragamuwa</t>
        </is>
      </c>
      <c r="C595" t="n">
        <v>2023</v>
      </c>
      <c r="D595" t="inlineStr">
        <is>
          <t>Avg. monthly income (Rs)</t>
        </is>
      </c>
      <c r="E595" s="14" t="n">
        <v>86951</v>
      </c>
    </row>
    <row r="596">
      <c r="A596" t="inlineStr">
        <is>
          <t>Ratnapura</t>
        </is>
      </c>
      <c r="B596" t="inlineStr">
        <is>
          <t>Sabaragamuwa</t>
        </is>
      </c>
      <c r="C596" t="n">
        <v>2024</v>
      </c>
      <c r="D596" t="inlineStr">
        <is>
          <t>Population</t>
        </is>
      </c>
      <c r="E596" s="14" t="n">
        <v>2424275</v>
      </c>
    </row>
    <row r="597">
      <c r="A597" t="inlineStr">
        <is>
          <t>Ratnapura</t>
        </is>
      </c>
      <c r="B597" t="inlineStr">
        <is>
          <t>Sabaragamuwa</t>
        </is>
      </c>
      <c r="C597" t="n">
        <v>2024</v>
      </c>
      <c r="D597" t="inlineStr">
        <is>
          <t>Schools</t>
        </is>
      </c>
      <c r="E597" s="14" t="n">
        <v>697</v>
      </c>
    </row>
    <row r="598">
      <c r="A598" t="inlineStr">
        <is>
          <t>Ratnapura</t>
        </is>
      </c>
      <c r="B598" t="inlineStr">
        <is>
          <t>Sabaragamuwa</t>
        </is>
      </c>
      <c r="C598" t="n">
        <v>2024</v>
      </c>
      <c r="D598" t="inlineStr">
        <is>
          <t>Internet users (%)</t>
        </is>
      </c>
      <c r="E598" s="15" t="n">
        <v>64.3</v>
      </c>
    </row>
    <row r="599">
      <c r="A599" t="inlineStr">
        <is>
          <t>Ratnapura</t>
        </is>
      </c>
      <c r="B599" t="inlineStr">
        <is>
          <t>Sabaragamuwa</t>
        </is>
      </c>
      <c r="C599" t="n">
        <v>2024</v>
      </c>
      <c r="D599" t="inlineStr">
        <is>
          <t>Households</t>
        </is>
      </c>
      <c r="E599" s="14" t="n">
        <v>631961</v>
      </c>
    </row>
    <row r="600">
      <c r="A600" t="inlineStr">
        <is>
          <t>Ratnapura</t>
        </is>
      </c>
      <c r="B600" t="inlineStr">
        <is>
          <t>Sabaragamuwa</t>
        </is>
      </c>
      <c r="C600" t="n">
        <v>2024</v>
      </c>
      <c r="D600" t="inlineStr">
        <is>
          <t>Avg. monthly income (Rs)</t>
        </is>
      </c>
      <c r="E600" s="14" t="n">
        <v>87031</v>
      </c>
    </row>
    <row r="601">
      <c r="A601" t="inlineStr">
        <is>
          <t>Ratnapura</t>
        </is>
      </c>
      <c r="B601" t="inlineStr">
        <is>
          <t>Sabaragamuwa</t>
        </is>
      </c>
      <c r="C601" t="n">
        <v>2025</v>
      </c>
      <c r="D601" t="inlineStr">
        <is>
          <t>Population</t>
        </is>
      </c>
      <c r="E601" s="14" t="n">
        <v>2467859</v>
      </c>
    </row>
    <row r="602">
      <c r="A602" t="inlineStr">
        <is>
          <t>Ratnapura</t>
        </is>
      </c>
      <c r="B602" t="inlineStr">
        <is>
          <t>Sabaragamuwa</t>
        </is>
      </c>
      <c r="C602" t="n">
        <v>2025</v>
      </c>
      <c r="D602" t="inlineStr">
        <is>
          <t>Schools</t>
        </is>
      </c>
      <c r="E602" s="14" t="n">
        <v>721</v>
      </c>
    </row>
    <row r="603">
      <c r="A603" t="inlineStr">
        <is>
          <t>Ratnapura</t>
        </is>
      </c>
      <c r="B603" t="inlineStr">
        <is>
          <t>Sabaragamuwa</t>
        </is>
      </c>
      <c r="C603" t="n">
        <v>2025</v>
      </c>
      <c r="D603" t="inlineStr">
        <is>
          <t>Internet users (%)</t>
        </is>
      </c>
      <c r="E603" s="15" t="n">
        <v>74.7</v>
      </c>
    </row>
    <row r="604">
      <c r="A604" t="inlineStr">
        <is>
          <t>Ratnapura</t>
        </is>
      </c>
      <c r="B604" t="inlineStr">
        <is>
          <t>Sabaragamuwa</t>
        </is>
      </c>
      <c r="C604" t="n">
        <v>2025</v>
      </c>
      <c r="D604" t="inlineStr">
        <is>
          <t>Households</t>
        </is>
      </c>
      <c r="E604" s="14" t="n">
        <v>560935</v>
      </c>
    </row>
    <row r="605">
      <c r="A605" t="inlineStr">
        <is>
          <t>Ratnapura</t>
        </is>
      </c>
      <c r="B605" t="inlineStr">
        <is>
          <t>Sabaragamuwa</t>
        </is>
      </c>
      <c r="C605" t="n">
        <v>2025</v>
      </c>
      <c r="D605" t="inlineStr">
        <is>
          <t>Avg. monthly income (Rs)</t>
        </is>
      </c>
      <c r="E605" s="14" t="n">
        <v>91161</v>
      </c>
    </row>
    <row r="606">
      <c r="A606" t="inlineStr">
        <is>
          <t>Kegalle</t>
        </is>
      </c>
      <c r="B606" t="inlineStr">
        <is>
          <t>Sabaragamuwa</t>
        </is>
      </c>
      <c r="C606" t="n">
        <v>2021</v>
      </c>
      <c r="D606" t="inlineStr">
        <is>
          <t>Population</t>
        </is>
      </c>
      <c r="E606" s="14" t="n">
        <v>1997077</v>
      </c>
    </row>
    <row r="607">
      <c r="A607" t="inlineStr">
        <is>
          <t>Kegalle</t>
        </is>
      </c>
      <c r="B607" t="inlineStr">
        <is>
          <t>Sabaragamuwa</t>
        </is>
      </c>
      <c r="C607" t="n">
        <v>2021</v>
      </c>
      <c r="D607" t="inlineStr">
        <is>
          <t>Schools</t>
        </is>
      </c>
      <c r="E607" s="14" t="n">
        <v>343</v>
      </c>
    </row>
    <row r="608">
      <c r="A608" t="inlineStr">
        <is>
          <t>Kegalle</t>
        </is>
      </c>
      <c r="B608" t="inlineStr">
        <is>
          <t>Sabaragamuwa</t>
        </is>
      </c>
      <c r="C608" t="n">
        <v>2021</v>
      </c>
      <c r="D608" t="inlineStr">
        <is>
          <t>Internet users (%)</t>
        </is>
      </c>
      <c r="E608" s="15" t="n">
        <v>41.7</v>
      </c>
    </row>
    <row r="609">
      <c r="A609" t="inlineStr">
        <is>
          <t>Kegalle</t>
        </is>
      </c>
      <c r="B609" t="inlineStr">
        <is>
          <t>Sabaragamuwa</t>
        </is>
      </c>
      <c r="C609" t="n">
        <v>2021</v>
      </c>
      <c r="D609" t="inlineStr">
        <is>
          <t>Households</t>
        </is>
      </c>
      <c r="E609" s="14" t="n">
        <v>528799</v>
      </c>
    </row>
    <row r="610">
      <c r="A610" t="inlineStr">
        <is>
          <t>Kegalle</t>
        </is>
      </c>
      <c r="B610" t="inlineStr">
        <is>
          <t>Sabaragamuwa</t>
        </is>
      </c>
      <c r="C610" t="n">
        <v>2021</v>
      </c>
      <c r="D610" t="inlineStr">
        <is>
          <t>Avg. monthly income (Rs)</t>
        </is>
      </c>
      <c r="E610" s="14" t="n">
        <v>51729</v>
      </c>
    </row>
    <row r="611">
      <c r="A611" t="inlineStr">
        <is>
          <t>Kegalle</t>
        </is>
      </c>
      <c r="B611" t="inlineStr">
        <is>
          <t>Sabaragamuwa</t>
        </is>
      </c>
      <c r="C611" t="n">
        <v>2022</v>
      </c>
      <c r="D611" t="inlineStr">
        <is>
          <t>Population</t>
        </is>
      </c>
      <c r="E611" s="14" t="n">
        <v>2008476</v>
      </c>
    </row>
    <row r="612">
      <c r="A612" t="inlineStr">
        <is>
          <t>Kegalle</t>
        </is>
      </c>
      <c r="B612" t="inlineStr">
        <is>
          <t>Sabaragamuwa</t>
        </is>
      </c>
      <c r="C612" t="n">
        <v>2022</v>
      </c>
      <c r="D612" t="inlineStr">
        <is>
          <t>Schools</t>
        </is>
      </c>
      <c r="E612" s="14" t="n">
        <v>349</v>
      </c>
    </row>
    <row r="613">
      <c r="A613" t="inlineStr">
        <is>
          <t>Kegalle</t>
        </is>
      </c>
      <c r="B613" t="inlineStr">
        <is>
          <t>Sabaragamuwa</t>
        </is>
      </c>
      <c r="C613" t="n">
        <v>2022</v>
      </c>
      <c r="D613" t="inlineStr">
        <is>
          <t>Internet users (%)</t>
        </is>
      </c>
      <c r="E613" s="15" t="n">
        <v>44.1</v>
      </c>
    </row>
    <row r="614">
      <c r="A614" t="inlineStr">
        <is>
          <t>Kegalle</t>
        </is>
      </c>
      <c r="B614" t="inlineStr">
        <is>
          <t>Sabaragamuwa</t>
        </is>
      </c>
      <c r="C614" t="n">
        <v>2022</v>
      </c>
      <c r="D614" t="inlineStr">
        <is>
          <t>Households</t>
        </is>
      </c>
      <c r="E614" s="14" t="n">
        <v>495716</v>
      </c>
    </row>
    <row r="615">
      <c r="A615" t="inlineStr">
        <is>
          <t>Kegalle</t>
        </is>
      </c>
      <c r="B615" t="inlineStr">
        <is>
          <t>Sabaragamuwa</t>
        </is>
      </c>
      <c r="C615" t="n">
        <v>2022</v>
      </c>
      <c r="D615" t="inlineStr">
        <is>
          <t>Avg. monthly income (Rs)</t>
        </is>
      </c>
      <c r="E615" s="14" t="n">
        <v>54264</v>
      </c>
    </row>
    <row r="616">
      <c r="A616" t="inlineStr">
        <is>
          <t>Kegalle</t>
        </is>
      </c>
      <c r="B616" t="inlineStr">
        <is>
          <t>Sabaragamuwa</t>
        </is>
      </c>
      <c r="C616" t="n">
        <v>2023</v>
      </c>
      <c r="D616" t="inlineStr">
        <is>
          <t>Population</t>
        </is>
      </c>
      <c r="E616" s="14" t="n">
        <v>2019940</v>
      </c>
    </row>
    <row r="617">
      <c r="A617" t="inlineStr">
        <is>
          <t>Kegalle</t>
        </is>
      </c>
      <c r="B617" t="inlineStr">
        <is>
          <t>Sabaragamuwa</t>
        </is>
      </c>
      <c r="C617" t="n">
        <v>2023</v>
      </c>
      <c r="D617" t="inlineStr">
        <is>
          <t>Schools</t>
        </is>
      </c>
      <c r="E617" s="14" t="n">
        <v>351</v>
      </c>
    </row>
    <row r="618">
      <c r="A618" t="inlineStr">
        <is>
          <t>Kegalle</t>
        </is>
      </c>
      <c r="B618" t="inlineStr">
        <is>
          <t>Sabaragamuwa</t>
        </is>
      </c>
      <c r="C618" t="n">
        <v>2023</v>
      </c>
      <c r="D618" t="inlineStr">
        <is>
          <t>Internet users (%)</t>
        </is>
      </c>
      <c r="E618" s="15" t="n">
        <v>49.9</v>
      </c>
    </row>
    <row r="619">
      <c r="A619" t="inlineStr">
        <is>
          <t>Kegalle</t>
        </is>
      </c>
      <c r="B619" t="inlineStr">
        <is>
          <t>Sabaragamuwa</t>
        </is>
      </c>
      <c r="C619" t="n">
        <v>2023</v>
      </c>
      <c r="D619" t="inlineStr">
        <is>
          <t>Households</t>
        </is>
      </c>
      <c r="E619" s="14" t="n">
        <v>554494</v>
      </c>
    </row>
    <row r="620">
      <c r="A620" t="inlineStr">
        <is>
          <t>Kegalle</t>
        </is>
      </c>
      <c r="B620" t="inlineStr">
        <is>
          <t>Sabaragamuwa</t>
        </is>
      </c>
      <c r="C620" t="n">
        <v>2023</v>
      </c>
      <c r="D620" t="inlineStr">
        <is>
          <t>Avg. monthly income (Rs)</t>
        </is>
      </c>
      <c r="E620" s="14" t="n">
        <v>58649</v>
      </c>
    </row>
    <row r="621">
      <c r="A621" t="inlineStr">
        <is>
          <t>Kegalle</t>
        </is>
      </c>
      <c r="B621" t="inlineStr">
        <is>
          <t>Sabaragamuwa</t>
        </is>
      </c>
      <c r="C621" t="n">
        <v>2024</v>
      </c>
      <c r="D621" t="inlineStr">
        <is>
          <t>Population</t>
        </is>
      </c>
      <c r="E621" s="14" t="n">
        <v>2031470</v>
      </c>
    </row>
    <row r="622">
      <c r="A622" t="inlineStr">
        <is>
          <t>Kegalle</t>
        </is>
      </c>
      <c r="B622" t="inlineStr">
        <is>
          <t>Sabaragamuwa</t>
        </is>
      </c>
      <c r="C622" t="n">
        <v>2024</v>
      </c>
      <c r="D622" t="inlineStr">
        <is>
          <t>Schools</t>
        </is>
      </c>
      <c r="E622" s="14" t="n">
        <v>343</v>
      </c>
    </row>
    <row r="623">
      <c r="A623" t="inlineStr">
        <is>
          <t>Kegalle</t>
        </is>
      </c>
      <c r="B623" t="inlineStr">
        <is>
          <t>Sabaragamuwa</t>
        </is>
      </c>
      <c r="C623" t="n">
        <v>2024</v>
      </c>
      <c r="D623" t="inlineStr">
        <is>
          <t>Internet users (%)</t>
        </is>
      </c>
      <c r="E623" s="15" t="n">
        <v>52</v>
      </c>
    </row>
    <row r="624">
      <c r="A624" t="inlineStr">
        <is>
          <t>Kegalle</t>
        </is>
      </c>
      <c r="B624" t="inlineStr">
        <is>
          <t>Sabaragamuwa</t>
        </is>
      </c>
      <c r="C624" t="n">
        <v>2024</v>
      </c>
      <c r="D624" t="inlineStr">
        <is>
          <t>Households</t>
        </is>
      </c>
      <c r="E624" s="14" t="n">
        <v>487983</v>
      </c>
    </row>
    <row r="625">
      <c r="A625" t="inlineStr">
        <is>
          <t>Kegalle</t>
        </is>
      </c>
      <c r="B625" t="inlineStr">
        <is>
          <t>Sabaragamuwa</t>
        </is>
      </c>
      <c r="C625" t="n">
        <v>2024</v>
      </c>
      <c r="D625" t="inlineStr">
        <is>
          <t>Avg. monthly income (Rs)</t>
        </is>
      </c>
      <c r="E625" s="14" t="n">
        <v>58168</v>
      </c>
    </row>
    <row r="626">
      <c r="A626" t="inlineStr">
        <is>
          <t>Kegalle</t>
        </is>
      </c>
      <c r="B626" t="inlineStr">
        <is>
          <t>Sabaragamuwa</t>
        </is>
      </c>
      <c r="C626" t="n">
        <v>2025</v>
      </c>
      <c r="D626" t="inlineStr">
        <is>
          <t>Population</t>
        </is>
      </c>
      <c r="E626" s="14" t="n">
        <v>2043065</v>
      </c>
    </row>
    <row r="627">
      <c r="A627" t="inlineStr">
        <is>
          <t>Kegalle</t>
        </is>
      </c>
      <c r="B627" t="inlineStr">
        <is>
          <t>Sabaragamuwa</t>
        </is>
      </c>
      <c r="C627" t="n">
        <v>2025</v>
      </c>
      <c r="D627" t="inlineStr">
        <is>
          <t>Schools</t>
        </is>
      </c>
      <c r="E627" s="14" t="n">
        <v>371</v>
      </c>
    </row>
    <row r="628">
      <c r="A628" t="inlineStr">
        <is>
          <t>Kegalle</t>
        </is>
      </c>
      <c r="B628" t="inlineStr">
        <is>
          <t>Sabaragamuwa</t>
        </is>
      </c>
      <c r="C628" t="n">
        <v>2025</v>
      </c>
      <c r="D628" t="inlineStr">
        <is>
          <t>Internet users (%)</t>
        </is>
      </c>
      <c r="E628" s="15" t="n">
        <v>51.1</v>
      </c>
    </row>
    <row r="629">
      <c r="A629" t="inlineStr">
        <is>
          <t>Kegalle</t>
        </is>
      </c>
      <c r="B629" t="inlineStr">
        <is>
          <t>Sabaragamuwa</t>
        </is>
      </c>
      <c r="C629" t="n">
        <v>2025</v>
      </c>
      <c r="D629" t="inlineStr">
        <is>
          <t>Households</t>
        </is>
      </c>
      <c r="E629" s="14" t="n">
        <v>524511</v>
      </c>
    </row>
    <row r="630">
      <c r="A630" t="inlineStr">
        <is>
          <t>Kegalle</t>
        </is>
      </c>
      <c r="B630" t="inlineStr">
        <is>
          <t>Sabaragamuwa</t>
        </is>
      </c>
      <c r="C630" t="n">
        <v>2025</v>
      </c>
      <c r="D630" t="inlineStr">
        <is>
          <t>Avg. monthly income (Rs)</t>
        </is>
      </c>
      <c r="E630" s="14" t="n">
        <v>62257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4" customWidth="1" min="2" max="2"/>
    <col width="34" customWidth="1" min="3" max="3"/>
  </cols>
  <sheetData>
    <row r="1">
      <c r="A1" s="1" t="inlineStr">
        <is>
          <t>What to try</t>
        </is>
      </c>
    </row>
    <row r="2">
      <c r="A2" s="10" t="inlineStr">
        <is>
          <t>In order. Do them on the Pivot ready sheet unless it says otherwise.</t>
        </is>
      </c>
    </row>
    <row r="4">
      <c r="A4" s="6" t="inlineStr">
        <is>
          <t>#</t>
        </is>
      </c>
      <c r="B4" s="6" t="inlineStr">
        <is>
          <t>Exercise</t>
        </is>
      </c>
      <c r="C4" s="6" t="inlineStr">
        <is>
          <t>What you should end up with</t>
        </is>
      </c>
    </row>
    <row r="5">
      <c r="A5" s="7" t="n">
        <v>1</v>
      </c>
      <c r="B5" s="12" t="inlineStr">
        <is>
          <t>Sort the Synthetic data sheet by income, largest first.</t>
        </is>
      </c>
      <c r="C5" s="12" t="inlineStr">
        <is>
          <t>Data, Sort. Kegalle is not top.</t>
        </is>
      </c>
    </row>
    <row r="6">
      <c r="A6" s="7" t="n">
        <v>2</v>
      </c>
      <c r="B6" s="12" t="inlineStr">
        <is>
          <t>On Synthetic data, freeze the header row so it stays visible while you scroll.</t>
        </is>
      </c>
      <c r="C6" s="12" t="inlineStr">
        <is>
          <t>View, Freeze Panes, Freeze Top Row.</t>
        </is>
      </c>
    </row>
    <row r="7">
      <c r="A7" s="7" t="n">
        <v>3</v>
      </c>
      <c r="B7" s="12" t="inlineStr">
        <is>
          <t>Use SUMIF to total the population of Western Province in 2025.</t>
        </is>
      </c>
      <c r="C7" s="12" t="inlineStr">
        <is>
          <t>One number. Use SUMIFS — it needs two conditions.</t>
        </is>
      </c>
    </row>
    <row r="8">
      <c r="A8" s="7" t="n">
        <v>4</v>
      </c>
      <c r="B8" s="12" t="inlineStr">
        <is>
          <t>Make a pivot table: Province down the side, Year across the top, Value in the middle, filtered to Population.</t>
        </is>
      </c>
      <c r="C8" s="12" t="inlineStr">
        <is>
          <t>A 9 by 5 grid of numbers.</t>
        </is>
      </c>
    </row>
    <row r="9">
      <c r="A9" s="7" t="n">
        <v>5</v>
      </c>
      <c r="B9" s="12" t="inlineStr">
        <is>
          <t>Add a column to Synthetic data: internet users as a count, not a percentage.</t>
        </is>
      </c>
      <c r="C9" s="12">
        <f> population * percentage / 100. Round it.</f>
        <v/>
      </c>
    </row>
    <row r="10">
      <c r="A10" s="7" t="n">
        <v>6</v>
      </c>
      <c r="B10" s="12" t="inlineStr">
        <is>
          <t>Use XLOOKUP to pull any district's 2025 income into a cell of its own.</t>
        </is>
      </c>
      <c r="C10" s="12" t="inlineStr">
        <is>
          <t>Change the district name and the number follows.</t>
        </is>
      </c>
    </row>
    <row r="11">
      <c r="A11" s="7" t="n">
        <v>7</v>
      </c>
      <c r="B11" s="12" t="inlineStr">
        <is>
          <t>Chart the average internet percentage per year, across all districts.</t>
        </is>
      </c>
      <c r="C11" s="12" t="inlineStr">
        <is>
          <t>A line going up. Insert, Line chart.</t>
        </is>
      </c>
    </row>
    <row r="12">
      <c r="A12" s="7" t="n">
        <v>8</v>
      </c>
      <c r="B12" s="12" t="inlineStr">
        <is>
          <t>Find which province had the largest increase in average income from 2021 to 2025.</t>
        </is>
      </c>
      <c r="C12" s="12" t="inlineStr">
        <is>
          <t>A pivot table, then a subtraction. There is more than one right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2026-09-13T11:13:26Z</dcterms:created>
  <dcterms:modified xmlns:dcterms="http://purl.org/dc/terms/" xmlns:xsi="http://www.w3.org/2001/XMLSchema-instance" xsi:type="dcterms:W3CDTF">2026-09-13T11:13:26Z</dcterms:modified>
</cp:coreProperties>
</file>